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9eeb82313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 2026" sheetId="1" r:id="R45db9c26825f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[$€-es-ES];[Red](#,##0.00 [$€-es-ES]);-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222222"/>
      <x:name val="Carlito"/>
    </x:font>
    <x:font>
      <x:sz val="10"/>
      <x:color rgb="FF222222"/>
      <x:name val="Carlito"/>
    </x:font>
    <x:font>
      <x:b/>
      <x:sz val="10"/>
      <x:color rgb="FF22222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5" borderId="0" xfId="0" applyNumberFormat="1" applyFont="1" applyFill="1" applyBorder="1" applyAlignment="1">
      <x:alignment horizontal="left" vertical="center"/>
    </x:xf>
    <x:xf numFmtId="200" fontId="4" fillId="0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0" fontId="3" fillId="5" borderId="1" xfId="0" applyNumberFormat="1" applyFont="1" applyFill="1" applyBorder="1" applyAlignment="1">
      <x:alignment horizontal="lef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5" fillId="6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3" fillId="5" borderId="0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5" fillId="6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3" fillId="5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46c557a6e41d2" /><Relationship Type="http://schemas.openxmlformats.org/officeDocument/2006/relationships/theme" Target="/xl/theme/theme1.xml" Id="R4d850e63a54e441f" /><Relationship Type="http://schemas.openxmlformats.org/officeDocument/2006/relationships/sharedStrings" Target="/xl/sharedStrings.xml" Id="R95e35b3b1dc74241" /><Relationship Type="http://schemas.openxmlformats.org/officeDocument/2006/relationships/worksheet" Target="/xl/worksheets/sheet1.xml" Id="R45db9c26825f48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6" hidden="0" customWidth="1"/>
  </x:cols>
  <x:sheetData>
    <x:row r="1" ht="32" customHeight="1">
      <x:c r="A1" s="5" t="str">
        <x:v>DESAVÍO EL RINCÓN — CUENTAS ANUALES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3" t="str">
        <x:v>Datos ficticios para pruebas · importes en euros · formato sencillo de una hoja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0" customHeight="1">
      <x:c r="A4" s="22" t="str">
        <x:v>Concepto</x:v>
      </x:c>
      <x:c r="B4" s="22" t="str">
        <x:v>Enero</x:v>
      </x:c>
      <x:c r="C4" s="22" t="str">
        <x:v>Febrero</x:v>
      </x:c>
      <x:c r="D4" s="22" t="str">
        <x:v>Marzo</x:v>
      </x:c>
      <x:c r="E4" s="22" t="str">
        <x:v>Abril</x:v>
      </x:c>
      <x:c r="F4" s="22" t="str">
        <x:v>Mayo</x:v>
      </x:c>
      <x:c r="G4" s="22" t="str">
        <x:v>Junio</x:v>
      </x:c>
      <x:c r="H4" s="22" t="str">
        <x:v>Julio</x:v>
      </x:c>
      <x:c r="I4" s="22" t="str">
        <x:v>Agosto</x:v>
      </x:c>
      <x:c r="J4" s="22" t="str">
        <x:v>Septiembre</x:v>
      </x:c>
      <x:c r="K4" s="22" t="str">
        <x:v>Octubre</x:v>
      </x:c>
      <x:c r="L4" s="22" t="str">
        <x:v>Noviembre</x:v>
      </x:c>
      <x:c r="M4" s="22" t="str">
        <x:v>Diciembre</x:v>
      </x:c>
      <x:c r="N4" s="22" t="str">
        <x:v>Total año</x:v>
      </x:c>
    </x:row>
    <x:row r="5" ht="24" customHeight="1">
      <x:c r="A5" s="31" t="str">
        <x:v>INGRESOS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</x:row>
    <x:row r="6">
      <x:c r="A6" s="60" t="str">
        <x:v>Ventas de alimentación</x:v>
      </x:c>
      <x:c r="B6" s="52" t="n">
        <x:v>18000</x:v>
      </x:c>
      <x:c r="C6" s="52" t="n">
        <x:v>17500</x:v>
      </x:c>
      <x:c r="D6" s="52" t="n">
        <x:v>18500</x:v>
      </x:c>
      <x:c r="E6" s="52" t="n">
        <x:v>19000</x:v>
      </x:c>
      <x:c r="F6" s="52" t="n">
        <x:v>20000</x:v>
      </x:c>
      <x:c r="G6" s="52" t="n">
        <x:v>21000</x:v>
      </x:c>
      <x:c r="H6" s="52" t="n">
        <x:v>21500</x:v>
      </x:c>
      <x:c r="I6" s="52" t="n">
        <x:v>19500</x:v>
      </x:c>
      <x:c r="J6" s="52" t="n">
        <x:v>22000</x:v>
      </x:c>
      <x:c r="K6" s="52" t="n">
        <x:v>23000</x:v>
      </x:c>
      <x:c r="L6" s="52" t="n">
        <x:v>24000</x:v>
      </x:c>
      <x:c r="M6" s="52" t="n">
        <x:v>27000</x:v>
      </x:c>
      <x:c r="N6" s="52" t="n">
        <x:v>251000</x:v>
      </x:c>
    </x:row>
    <x:row r="7">
      <x:c r="A7" s="60" t="str">
        <x:v>Ventas de bebidas</x:v>
      </x:c>
      <x:c r="B7" s="52" t="n">
        <x:v>13000</x:v>
      </x:c>
      <x:c r="C7" s="52" t="n">
        <x:v>12500</x:v>
      </x:c>
      <x:c r="D7" s="52" t="n">
        <x:v>13500</x:v>
      </x:c>
      <x:c r="E7" s="52" t="n">
        <x:v>14000</x:v>
      </x:c>
      <x:c r="F7" s="52" t="n">
        <x:v>14500</x:v>
      </x:c>
      <x:c r="G7" s="52" t="n">
        <x:v>16000</x:v>
      </x:c>
      <x:c r="H7" s="52" t="n">
        <x:v>17000</x:v>
      </x:c>
      <x:c r="I7" s="52" t="n">
        <x:v>15500</x:v>
      </x:c>
      <x:c r="J7" s="52" t="n">
        <x:v>16500</x:v>
      </x:c>
      <x:c r="K7" s="52" t="n">
        <x:v>17500</x:v>
      </x:c>
      <x:c r="L7" s="52" t="n">
        <x:v>18500</x:v>
      </x:c>
      <x:c r="M7" s="52" t="n">
        <x:v>22000</x:v>
      </x:c>
      <x:c r="N7" s="52" t="n">
        <x:v>190500</x:v>
      </x:c>
    </x:row>
    <x:row r="8">
      <x:c r="A8" s="60" t="str">
        <x:v>Ventas de tabaco</x:v>
      </x:c>
      <x:c r="B8" s="52" t="n">
        <x:v>10500</x:v>
      </x:c>
      <x:c r="C8" s="52" t="n">
        <x:v>10300</x:v>
      </x:c>
      <x:c r="D8" s="52" t="n">
        <x:v>10600</x:v>
      </x:c>
      <x:c r="E8" s="52" t="n">
        <x:v>10800</x:v>
      </x:c>
      <x:c r="F8" s="52" t="n">
        <x:v>11000</x:v>
      </x:c>
      <x:c r="G8" s="52" t="n">
        <x:v>11500</x:v>
      </x:c>
      <x:c r="H8" s="52" t="n">
        <x:v>12000</x:v>
      </x:c>
      <x:c r="I8" s="52" t="n">
        <x:v>11700</x:v>
      </x:c>
      <x:c r="J8" s="52" t="n">
        <x:v>12100</x:v>
      </x:c>
      <x:c r="K8" s="52" t="n">
        <x:v>12400</x:v>
      </x:c>
      <x:c r="L8" s="52" t="n">
        <x:v>12800</x:v>
      </x:c>
      <x:c r="M8" s="52" t="n">
        <x:v>13500</x:v>
      </x:c>
      <x:c r="N8" s="52" t="n">
        <x:v>139200</x:v>
      </x:c>
    </x:row>
    <x:row r="9">
      <x:c r="A9" s="60" t="str">
        <x:v>Pan y bollería</x:v>
      </x:c>
      <x:c r="B9" s="52" t="n">
        <x:v>5000</x:v>
      </x:c>
      <x:c r="C9" s="52" t="n">
        <x:v>4900</x:v>
      </x:c>
      <x:c r="D9" s="52" t="n">
        <x:v>5200</x:v>
      </x:c>
      <x:c r="E9" s="52" t="n">
        <x:v>5400</x:v>
      </x:c>
      <x:c r="F9" s="52" t="n">
        <x:v>5600</x:v>
      </x:c>
      <x:c r="G9" s="52" t="n">
        <x:v>5800</x:v>
      </x:c>
      <x:c r="H9" s="52" t="n">
        <x:v>6000</x:v>
      </x:c>
      <x:c r="I9" s="52" t="n">
        <x:v>5500</x:v>
      </x:c>
      <x:c r="J9" s="52" t="n">
        <x:v>5900</x:v>
      </x:c>
      <x:c r="K9" s="52" t="n">
        <x:v>6200</x:v>
      </x:c>
      <x:c r="L9" s="52" t="n">
        <x:v>6500</x:v>
      </x:c>
      <x:c r="M9" s="52" t="n">
        <x:v>7500</x:v>
      </x:c>
      <x:c r="N9" s="52" t="n">
        <x:v>69500</x:v>
      </x:c>
    </x:row>
    <x:row r="10">
      <x:c r="A10" s="60" t="str">
        <x:v>Chucherías y snacks</x:v>
      </x:c>
      <x:c r="B10" s="52" t="n">
        <x:v>4200</x:v>
      </x:c>
      <x:c r="C10" s="52" t="n">
        <x:v>4100</x:v>
      </x:c>
      <x:c r="D10" s="52" t="n">
        <x:v>4300</x:v>
      </x:c>
      <x:c r="E10" s="52" t="n">
        <x:v>4500</x:v>
      </x:c>
      <x:c r="F10" s="52" t="n">
        <x:v>4700</x:v>
      </x:c>
      <x:c r="G10" s="52" t="n">
        <x:v>5000</x:v>
      </x:c>
      <x:c r="H10" s="52" t="n">
        <x:v>5200</x:v>
      </x:c>
      <x:c r="I10" s="52" t="n">
        <x:v>4800</x:v>
      </x:c>
      <x:c r="J10" s="52" t="n">
        <x:v>5100</x:v>
      </x:c>
      <x:c r="K10" s="52" t="n">
        <x:v>5400</x:v>
      </x:c>
      <x:c r="L10" s="52" t="n">
        <x:v>5700</x:v>
      </x:c>
      <x:c r="M10" s="52" t="n">
        <x:v>6800</x:v>
      </x:c>
      <x:c r="N10" s="52" t="n">
        <x:v>59800</x:v>
      </x:c>
    </x:row>
    <x:row r="11">
      <x:c r="A11" s="60" t="str">
        <x:v>Comisiones de recargas, loterías y paquetería</x:v>
      </x:c>
      <x:c r="B11" s="52" t="n">
        <x:v>1200</x:v>
      </x:c>
      <x:c r="C11" s="52" t="n">
        <x:v>1200</x:v>
      </x:c>
      <x:c r="D11" s="52" t="n">
        <x:v>1250</x:v>
      </x:c>
      <x:c r="E11" s="52" t="n">
        <x:v>1300</x:v>
      </x:c>
      <x:c r="F11" s="52" t="n">
        <x:v>1350</x:v>
      </x:c>
      <x:c r="G11" s="52" t="n">
        <x:v>1500</x:v>
      </x:c>
      <x:c r="H11" s="52" t="n">
        <x:v>1600</x:v>
      </x:c>
      <x:c r="I11" s="52" t="n">
        <x:v>1500</x:v>
      </x:c>
      <x:c r="J11" s="52" t="n">
        <x:v>1550</x:v>
      </x:c>
      <x:c r="K11" s="52" t="n">
        <x:v>1650</x:v>
      </x:c>
      <x:c r="L11" s="52" t="n">
        <x:v>1750</x:v>
      </x:c>
      <x:c r="M11" s="52" t="n">
        <x:v>2100</x:v>
      </x:c>
      <x:c r="N11" s="52" t="n">
        <x:v>17950</x:v>
      </x:c>
    </x:row>
    <x:row r="12">
      <x:c r="A12" s="60" t="str">
        <x:v>Otros ingresos</x:v>
      </x:c>
      <x:c r="B12" s="52" t="n">
        <x:v>200</x:v>
      </x:c>
      <x:c r="C12" s="52" t="n">
        <x:v>200</x:v>
      </x:c>
      <x:c r="D12" s="52" t="n">
        <x:v>200</x:v>
      </x:c>
      <x:c r="E12" s="52" t="n">
        <x:v>1800</x:v>
      </x:c>
      <x:c r="F12" s="52" t="n">
        <x:v>200</x:v>
      </x:c>
      <x:c r="G12" s="52" t="n">
        <x:v>200</x:v>
      </x:c>
      <x:c r="H12" s="52" t="n">
        <x:v>200</x:v>
      </x:c>
      <x:c r="I12" s="52" t="n">
        <x:v>200</x:v>
      </x:c>
      <x:c r="J12" s="52" t="n">
        <x:v>200</x:v>
      </x:c>
      <x:c r="K12" s="52" t="n">
        <x:v>200</x:v>
      </x:c>
      <x:c r="L12" s="52" t="n">
        <x:v>200</x:v>
      </x:c>
      <x:c r="M12" s="52" t="n">
        <x:v>200</x:v>
      </x:c>
      <x:c r="N12" s="52" t="n">
        <x:v>4000</x:v>
      </x:c>
    </x:row>
    <x:row r="13">
      <x:c r="A13" s="61" t="str">
        <x:v>TOTAL INGRESOS</x:v>
      </x:c>
      <x:c r="B13" s="53" t="n">
        <x:v>52100</x:v>
      </x:c>
      <x:c r="C13" s="53" t="n">
        <x:v>50700</x:v>
      </x:c>
      <x:c r="D13" s="53" t="n">
        <x:v>53550</x:v>
      </x:c>
      <x:c r="E13" s="53" t="n">
        <x:v>56800</x:v>
      </x:c>
      <x:c r="F13" s="53" t="n">
        <x:v>57350</x:v>
      </x:c>
      <x:c r="G13" s="53" t="n">
        <x:v>61000</x:v>
      </x:c>
      <x:c r="H13" s="53" t="n">
        <x:v>63500</x:v>
      </x:c>
      <x:c r="I13" s="53" t="n">
        <x:v>58700</x:v>
      </x:c>
      <x:c r="J13" s="53" t="n">
        <x:v>63350</x:v>
      </x:c>
      <x:c r="K13" s="53" t="n">
        <x:v>66350</x:v>
      </x:c>
      <x:c r="L13" s="53" t="n">
        <x:v>69450</x:v>
      </x:c>
      <x:c r="M13" s="53" t="n">
        <x:v>79100</x:v>
      </x:c>
      <x:c r="N13" s="53" t="n">
        <x:v>731950</x:v>
      </x:c>
    </x:row>
    <x:row r="14">
      <x:c r="A14" s="62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</x:row>
    <x:row r="15" ht="24" customHeight="1">
      <x:c r="A15" s="63" t="str">
        <x:v>GASTOS</x:v>
      </x:c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</x:row>
    <x:row r="16">
      <x:c r="A16" s="60" t="str">
        <x:v>Compras de mercadería</x:v>
      </x:c>
      <x:c r="B16" s="52" t="n">
        <x:v>36510</x:v>
      </x:c>
      <x:c r="C16" s="52" t="n">
        <x:v>35517</x:v>
      </x:c>
      <x:c r="D16" s="52" t="n">
        <x:v>37477</x:v>
      </x:c>
      <x:c r="E16" s="52" t="n">
        <x:v>38597</x:v>
      </x:c>
      <x:c r="F16" s="52" t="n">
        <x:v>40067</x:v>
      </x:c>
      <x:c r="G16" s="52" t="n">
        <x:v>42546</x:v>
      </x:c>
      <x:c r="H16" s="52" t="n">
        <x:v>44270</x:v>
      </x:c>
      <x:c r="I16" s="52" t="n">
        <x:v>41016</x:v>
      </x:c>
      <x:c r="J16" s="52" t="n">
        <x:v>44241</x:v>
      </x:c>
      <x:c r="K16" s="52" t="n">
        <x:v>46266</x:v>
      </x:c>
      <x:c r="L16" s="52" t="n">
        <x:v>48379</x:v>
      </x:c>
      <x:c r="M16" s="52" t="n">
        <x:v>54810</x:v>
      </x:c>
      <x:c r="N16" s="52" t="n">
        <x:v>509696</x:v>
      </x:c>
    </x:row>
    <x:row r="17">
      <x:c r="A17" s="60" t="str">
        <x:v>Sueldos y Seguridad Social</x:v>
      </x:c>
      <x:c r="B17" s="52" t="n">
        <x:v>7800</x:v>
      </x:c>
      <x:c r="C17" s="52" t="n">
        <x:v>7800</x:v>
      </x:c>
      <x:c r="D17" s="52" t="n">
        <x:v>7800</x:v>
      </x:c>
      <x:c r="E17" s="52" t="n">
        <x:v>7800</x:v>
      </x:c>
      <x:c r="F17" s="52" t="n">
        <x:v>7800</x:v>
      </x:c>
      <x:c r="G17" s="52" t="n">
        <x:v>8500</x:v>
      </x:c>
      <x:c r="H17" s="52" t="n">
        <x:v>8500</x:v>
      </x:c>
      <x:c r="I17" s="52" t="n">
        <x:v>8000</x:v>
      </x:c>
      <x:c r="J17" s="52" t="n">
        <x:v>7800</x:v>
      </x:c>
      <x:c r="K17" s="52" t="n">
        <x:v>7800</x:v>
      </x:c>
      <x:c r="L17" s="52" t="n">
        <x:v>7800</x:v>
      </x:c>
      <x:c r="M17" s="52" t="n">
        <x:v>9000</x:v>
      </x:c>
      <x:c r="N17" s="52" t="n">
        <x:v>96400</x:v>
      </x:c>
    </x:row>
    <x:row r="18">
      <x:c r="A18" s="60" t="str">
        <x:v>Alquiler del local</x:v>
      </x:c>
      <x:c r="B18" s="52" t="n">
        <x:v>1600</x:v>
      </x:c>
      <x:c r="C18" s="52" t="n">
        <x:v>1600</x:v>
      </x:c>
      <x:c r="D18" s="52" t="n">
        <x:v>1600</x:v>
      </x:c>
      <x:c r="E18" s="52" t="n">
        <x:v>1600</x:v>
      </x:c>
      <x:c r="F18" s="52" t="n">
        <x:v>1600</x:v>
      </x:c>
      <x:c r="G18" s="52" t="n">
        <x:v>1600</x:v>
      </x:c>
      <x:c r="H18" s="52" t="n">
        <x:v>1600</x:v>
      </x:c>
      <x:c r="I18" s="52" t="n">
        <x:v>1600</x:v>
      </x:c>
      <x:c r="J18" s="52" t="n">
        <x:v>1600</x:v>
      </x:c>
      <x:c r="K18" s="52" t="n">
        <x:v>1600</x:v>
      </x:c>
      <x:c r="L18" s="52" t="n">
        <x:v>1600</x:v>
      </x:c>
      <x:c r="M18" s="52" t="n">
        <x:v>1600</x:v>
      </x:c>
      <x:c r="N18" s="52" t="n">
        <x:v>19200</x:v>
      </x:c>
    </x:row>
    <x:row r="19">
      <x:c r="A19" s="60" t="str">
        <x:v>Luz</x:v>
      </x:c>
      <x:c r="B19" s="52" t="n">
        <x:v>900</x:v>
      </x:c>
      <x:c r="C19" s="52" t="n">
        <x:v>850</x:v>
      </x:c>
      <x:c r="D19" s="52" t="n">
        <x:v>820</x:v>
      </x:c>
      <x:c r="E19" s="52" t="n">
        <x:v>800</x:v>
      </x:c>
      <x:c r="F19" s="52" t="n">
        <x:v>780</x:v>
      </x:c>
      <x:c r="G19" s="52" t="n">
        <x:v>850</x:v>
      </x:c>
      <x:c r="H19" s="52" t="n">
        <x:v>1100</x:v>
      </x:c>
      <x:c r="I19" s="52" t="n">
        <x:v>1250</x:v>
      </x:c>
      <x:c r="J19" s="52" t="n">
        <x:v>900</x:v>
      </x:c>
      <x:c r="K19" s="52" t="n">
        <x:v>850</x:v>
      </x:c>
      <x:c r="L19" s="52" t="n">
        <x:v>900</x:v>
      </x:c>
      <x:c r="M19" s="52" t="n">
        <x:v>1150</x:v>
      </x:c>
      <x:c r="N19" s="52" t="n">
        <x:v>11150</x:v>
      </x:c>
    </x:row>
    <x:row r="20">
      <x:c r="A20" s="60" t="str">
        <x:v>Agua</x:v>
      </x:c>
      <x:c r="B20" s="52" t="n">
        <x:v>180</x:v>
      </x:c>
      <x:c r="C20" s="52" t="n">
        <x:v>180</x:v>
      </x:c>
      <x:c r="D20" s="52" t="n">
        <x:v>180</x:v>
      </x:c>
      <x:c r="E20" s="52" t="n">
        <x:v>180</x:v>
      </x:c>
      <x:c r="F20" s="52" t="n">
        <x:v>180</x:v>
      </x:c>
      <x:c r="G20" s="52" t="n">
        <x:v>180</x:v>
      </x:c>
      <x:c r="H20" s="52" t="n">
        <x:v>180</x:v>
      </x:c>
      <x:c r="I20" s="52" t="n">
        <x:v>180</x:v>
      </x:c>
      <x:c r="J20" s="52" t="n">
        <x:v>180</x:v>
      </x:c>
      <x:c r="K20" s="52" t="n">
        <x:v>180</x:v>
      </x:c>
      <x:c r="L20" s="52" t="n">
        <x:v>180</x:v>
      </x:c>
      <x:c r="M20" s="52" t="n">
        <x:v>180</x:v>
      </x:c>
      <x:c r="N20" s="52" t="n">
        <x:v>2160</x:v>
      </x:c>
    </x:row>
    <x:row r="21">
      <x:c r="A21" s="60" t="str">
        <x:v>Comisiones del TPV</x:v>
      </x:c>
      <x:c r="B21" s="52" t="n">
        <x:v>416.8</x:v>
      </x:c>
      <x:c r="C21" s="52" t="n">
        <x:v>405.6</x:v>
      </x:c>
      <x:c r="D21" s="52" t="n">
        <x:v>428.4</x:v>
      </x:c>
      <x:c r="E21" s="52" t="n">
        <x:v>454.4</x:v>
      </x:c>
      <x:c r="F21" s="52" t="n">
        <x:v>458.8</x:v>
      </x:c>
      <x:c r="G21" s="52" t="n">
        <x:v>488</x:v>
      </x:c>
      <x:c r="H21" s="52" t="n">
        <x:v>508</x:v>
      </x:c>
      <x:c r="I21" s="52" t="n">
        <x:v>469.6</x:v>
      </x:c>
      <x:c r="J21" s="52" t="n">
        <x:v>506.8</x:v>
      </x:c>
      <x:c r="K21" s="52" t="n">
        <x:v>530.8</x:v>
      </x:c>
      <x:c r="L21" s="52" t="n">
        <x:v>555.6</x:v>
      </x:c>
      <x:c r="M21" s="52" t="n">
        <x:v>632.8</x:v>
      </x:c>
      <x:c r="N21" s="52" t="n">
        <x:v>5855.6</x:v>
      </x:c>
    </x:row>
    <x:row r="22">
      <x:c r="A22" s="60" t="str">
        <x:v>Seguro del negocio</x:v>
      </x:c>
      <x:c r="B22" s="52" t="n">
        <x:v>220</x:v>
      </x:c>
      <x:c r="C22" s="52" t="n">
        <x:v>220</x:v>
      </x:c>
      <x:c r="D22" s="52" t="n">
        <x:v>220</x:v>
      </x:c>
      <x:c r="E22" s="52" t="n">
        <x:v>220</x:v>
      </x:c>
      <x:c r="F22" s="52" t="n">
        <x:v>220</x:v>
      </x:c>
      <x:c r="G22" s="52" t="n">
        <x:v>220</x:v>
      </x:c>
      <x:c r="H22" s="52" t="n">
        <x:v>220</x:v>
      </x:c>
      <x:c r="I22" s="52" t="n">
        <x:v>220</x:v>
      </x:c>
      <x:c r="J22" s="52" t="n">
        <x:v>220</x:v>
      </x:c>
      <x:c r="K22" s="52" t="n">
        <x:v>220</x:v>
      </x:c>
      <x:c r="L22" s="52" t="n">
        <x:v>220</x:v>
      </x:c>
      <x:c r="M22" s="52" t="n">
        <x:v>220</x:v>
      </x:c>
      <x:c r="N22" s="52" t="n">
        <x:v>2640</x:v>
      </x:c>
    </x:row>
    <x:row r="23">
      <x:c r="A23" s="60" t="str">
        <x:v>Gestoría</x:v>
      </x:c>
      <x:c r="B23" s="52" t="n">
        <x:v>280</x:v>
      </x:c>
      <x:c r="C23" s="52" t="n">
        <x:v>280</x:v>
      </x:c>
      <x:c r="D23" s="52" t="n">
        <x:v>280</x:v>
      </x:c>
      <x:c r="E23" s="52" t="n">
        <x:v>280</x:v>
      </x:c>
      <x:c r="F23" s="52" t="n">
        <x:v>280</x:v>
      </x:c>
      <x:c r="G23" s="52" t="n">
        <x:v>280</x:v>
      </x:c>
      <x:c r="H23" s="52" t="n">
        <x:v>280</x:v>
      </x:c>
      <x:c r="I23" s="52" t="n">
        <x:v>280</x:v>
      </x:c>
      <x:c r="J23" s="52" t="n">
        <x:v>280</x:v>
      </x:c>
      <x:c r="K23" s="52" t="n">
        <x:v>280</x:v>
      </x:c>
      <x:c r="L23" s="52" t="n">
        <x:v>280</x:v>
      </x:c>
      <x:c r="M23" s="52" t="n">
        <x:v>280</x:v>
      </x:c>
      <x:c r="N23" s="52" t="n">
        <x:v>3360</x:v>
      </x:c>
    </x:row>
    <x:row r="24">
      <x:c r="A24" s="60" t="str">
        <x:v>Limpieza, bolsas y pequeños consumibles</x:v>
      </x:c>
      <x:c r="B24" s="52" t="n">
        <x:v>450</x:v>
      </x:c>
      <x:c r="C24" s="52" t="n">
        <x:v>430</x:v>
      </x:c>
      <x:c r="D24" s="52" t="n">
        <x:v>450</x:v>
      </x:c>
      <x:c r="E24" s="52" t="n">
        <x:v>480</x:v>
      </x:c>
      <x:c r="F24" s="52" t="n">
        <x:v>500</x:v>
      </x:c>
      <x:c r="G24" s="52" t="n">
        <x:v>520</x:v>
      </x:c>
      <x:c r="H24" s="52" t="n">
        <x:v>550</x:v>
      </x:c>
      <x:c r="I24" s="52" t="n">
        <x:v>500</x:v>
      </x:c>
      <x:c r="J24" s="52" t="n">
        <x:v>520</x:v>
      </x:c>
      <x:c r="K24" s="52" t="n">
        <x:v>550</x:v>
      </x:c>
      <x:c r="L24" s="52" t="n">
        <x:v>580</x:v>
      </x:c>
      <x:c r="M24" s="52" t="n">
        <x:v>700</x:v>
      </x:c>
      <x:c r="N24" s="52" t="n">
        <x:v>6230</x:v>
      </x:c>
    </x:row>
    <x:row r="25">
      <x:c r="A25" s="60" t="str">
        <x:v>Reparaciones y mantenimiento</x:v>
      </x:c>
      <x:c r="B25" s="52" t="n">
        <x:v>300</x:v>
      </x:c>
      <x:c r="C25" s="52" t="n">
        <x:v>250</x:v>
      </x:c>
      <x:c r="D25" s="52" t="n">
        <x:v>350</x:v>
      </x:c>
      <x:c r="E25" s="52" t="n">
        <x:v>280</x:v>
      </x:c>
      <x:c r="F25" s="52" t="n">
        <x:v>320</x:v>
      </x:c>
      <x:c r="G25" s="52" t="n">
        <x:v>500</x:v>
      </x:c>
      <x:c r="H25" s="52" t="n">
        <x:v>450</x:v>
      </x:c>
      <x:c r="I25" s="52" t="n">
        <x:v>400</x:v>
      </x:c>
      <x:c r="J25" s="52" t="n">
        <x:v>350</x:v>
      </x:c>
      <x:c r="K25" s="52" t="n">
        <x:v>420</x:v>
      </x:c>
      <x:c r="L25" s="52" t="n">
        <x:v>500</x:v>
      </x:c>
      <x:c r="M25" s="52" t="n">
        <x:v>800</x:v>
      </x:c>
      <x:c r="N25" s="52" t="n">
        <x:v>4920</x:v>
      </x:c>
    </x:row>
    <x:row r="26">
      <x:c r="A26" s="60" t="str">
        <x:v>Otros gastos</x:v>
      </x:c>
      <x:c r="B26" s="52" t="n">
        <x:v>250</x:v>
      </x:c>
      <x:c r="C26" s="52" t="n">
        <x:v>250</x:v>
      </x:c>
      <x:c r="D26" s="52" t="n">
        <x:v>250</x:v>
      </x:c>
      <x:c r="E26" s="52" t="n">
        <x:v>250</x:v>
      </x:c>
      <x:c r="F26" s="52" t="n">
        <x:v>250</x:v>
      </x:c>
      <x:c r="G26" s="52" t="n">
        <x:v>250</x:v>
      </x:c>
      <x:c r="H26" s="52" t="n">
        <x:v>250</x:v>
      </x:c>
      <x:c r="I26" s="52" t="n">
        <x:v>250</x:v>
      </x:c>
      <x:c r="J26" s="52" t="n">
        <x:v>250</x:v>
      </x:c>
      <x:c r="K26" s="52" t="n">
        <x:v>250</x:v>
      </x:c>
      <x:c r="L26" s="52" t="n">
        <x:v>250</x:v>
      </x:c>
      <x:c r="M26" s="52" t="n">
        <x:v>250</x:v>
      </x:c>
      <x:c r="N26" s="52" t="n">
        <x:v>3000</x:v>
      </x:c>
    </x:row>
    <x:row r="27">
      <x:c r="A27" s="61" t="str">
        <x:v>TOTAL GASTOS</x:v>
      </x:c>
      <x:c r="B27" s="53" t="n">
        <x:v>48906.8</x:v>
      </x:c>
      <x:c r="C27" s="53" t="n">
        <x:v>47782.6</x:v>
      </x:c>
      <x:c r="D27" s="53" t="n">
        <x:v>49855.4</x:v>
      </x:c>
      <x:c r="E27" s="53" t="n">
        <x:v>50941.4</x:v>
      </x:c>
      <x:c r="F27" s="53" t="n">
        <x:v>52455.8</x:v>
      </x:c>
      <x:c r="G27" s="53" t="n">
        <x:v>55934</x:v>
      </x:c>
      <x:c r="H27" s="53" t="n">
        <x:v>57908</x:v>
      </x:c>
      <x:c r="I27" s="53" t="n">
        <x:v>54165.6</x:v>
      </x:c>
      <x:c r="J27" s="53" t="n">
        <x:v>56847.8</x:v>
      </x:c>
      <x:c r="K27" s="53" t="n">
        <x:v>58946.8</x:v>
      </x:c>
      <x:c r="L27" s="53" t="n">
        <x:v>61244.6</x:v>
      </x:c>
      <x:c r="M27" s="53" t="n">
        <x:v>69622.8</x:v>
      </x:c>
      <x:c r="N27" s="53" t="n">
        <x:v>664611.6</x:v>
      </x:c>
    </x:row>
    <x:row r="28">
      <x:c r="A28" s="61" t="str">
        <x:v>BENEFICIO ANTES DE AMORTIZACIÓN</x:v>
      </x:c>
      <x:c r="B28" s="53" t="n">
        <x:v>3193.199999999997</x:v>
      </x:c>
      <x:c r="C28" s="53" t="n">
        <x:v>2917.4000000000015</x:v>
      </x:c>
      <x:c r="D28" s="53" t="n">
        <x:v>3694.5999999999985</x:v>
      </x:c>
      <x:c r="E28" s="53" t="n">
        <x:v>5858.5999999999985</x:v>
      </x:c>
      <x:c r="F28" s="53" t="n">
        <x:v>4894.199999999997</x:v>
      </x:c>
      <x:c r="G28" s="53" t="n">
        <x:v>5066</x:v>
      </x:c>
      <x:c r="H28" s="53" t="n">
        <x:v>5592</x:v>
      </x:c>
      <x:c r="I28" s="53" t="n">
        <x:v>4534.4000000000015</x:v>
      </x:c>
      <x:c r="J28" s="53" t="n">
        <x:v>6502.199999999997</x:v>
      </x:c>
      <x:c r="K28" s="53" t="n">
        <x:v>7403.199999999997</x:v>
      </x:c>
      <x:c r="L28" s="53" t="n">
        <x:v>8205.400000000001</x:v>
      </x:c>
      <x:c r="M28" s="53" t="n">
        <x:v>9477.199999999997</x:v>
      </x:c>
      <x:c r="N28" s="53" t="n">
        <x:v>67338.4</x:v>
      </x:c>
    </x:row>
    <x:row r="29">
      <x:c r="A29" s="60" t="str">
        <x:v>Amortización de neveras, estanterías y equipos</x:v>
      </x:c>
      <x:c r="B29" s="52" t="n">
        <x:v>500</x:v>
      </x:c>
      <x:c r="C29" s="52" t="n">
        <x:v>500</x:v>
      </x:c>
      <x:c r="D29" s="52" t="n">
        <x:v>500</x:v>
      </x:c>
      <x:c r="E29" s="52" t="n">
        <x:v>500</x:v>
      </x:c>
      <x:c r="F29" s="52" t="n">
        <x:v>500</x:v>
      </x:c>
      <x:c r="G29" s="52" t="n">
        <x:v>500</x:v>
      </x:c>
      <x:c r="H29" s="52" t="n">
        <x:v>500</x:v>
      </x:c>
      <x:c r="I29" s="52" t="n">
        <x:v>500</x:v>
      </x:c>
      <x:c r="J29" s="52" t="n">
        <x:v>500</x:v>
      </x:c>
      <x:c r="K29" s="52" t="n">
        <x:v>500</x:v>
      </x:c>
      <x:c r="L29" s="52" t="n">
        <x:v>500</x:v>
      </x:c>
      <x:c r="M29" s="52" t="n">
        <x:v>500</x:v>
      </x:c>
      <x:c r="N29" s="52" t="n">
        <x:v>6000</x:v>
      </x:c>
    </x:row>
    <x:row r="30">
      <x:c r="A30" s="61" t="str">
        <x:v>BENEFICIO DE EXPLOTACIÓN</x:v>
      </x:c>
      <x:c r="B30" s="53" t="n">
        <x:v>2693.199999999997</x:v>
      </x:c>
      <x:c r="C30" s="53" t="n">
        <x:v>2417.4000000000015</x:v>
      </x:c>
      <x:c r="D30" s="53" t="n">
        <x:v>3194.5999999999985</x:v>
      </x:c>
      <x:c r="E30" s="53" t="n">
        <x:v>5358.5999999999985</x:v>
      </x:c>
      <x:c r="F30" s="53" t="n">
        <x:v>4394.199999999997</x:v>
      </x:c>
      <x:c r="G30" s="53" t="n">
        <x:v>4566</x:v>
      </x:c>
      <x:c r="H30" s="53" t="n">
        <x:v>5092</x:v>
      </x:c>
      <x:c r="I30" s="53" t="n">
        <x:v>4034.4000000000015</x:v>
      </x:c>
      <x:c r="J30" s="53" t="n">
        <x:v>6002.199999999997</x:v>
      </x:c>
      <x:c r="K30" s="53" t="n">
        <x:v>6903.199999999997</x:v>
      </x:c>
      <x:c r="L30" s="53" t="n">
        <x:v>7705.4000000000015</x:v>
      </x:c>
      <x:c r="M30" s="53" t="n">
        <x:v>8977.199999999997</x:v>
      </x:c>
      <x:c r="N30" s="53" t="n">
        <x:v>61338.39999999999</x:v>
      </x:c>
    </x:row>
    <x:row r="31">
      <x:c r="A31" s="60" t="str">
        <x:v>Intereses del préstamo</x:v>
      </x:c>
      <x:c r="B31" s="52" t="n">
        <x:v>150</x:v>
      </x:c>
      <x:c r="C31" s="52" t="n">
        <x:v>150</x:v>
      </x:c>
      <x:c r="D31" s="52" t="n">
        <x:v>150</x:v>
      </x:c>
      <x:c r="E31" s="52" t="n">
        <x:v>150</x:v>
      </x:c>
      <x:c r="F31" s="52" t="n">
        <x:v>150</x:v>
      </x:c>
      <x:c r="G31" s="52" t="n">
        <x:v>150</x:v>
      </x:c>
      <x:c r="H31" s="52" t="n">
        <x:v>150</x:v>
      </x:c>
      <x:c r="I31" s="52" t="n">
        <x:v>150</x:v>
      </x:c>
      <x:c r="J31" s="52" t="n">
        <x:v>150</x:v>
      </x:c>
      <x:c r="K31" s="52" t="n">
        <x:v>150</x:v>
      </x:c>
      <x:c r="L31" s="52" t="n">
        <x:v>150</x:v>
      </x:c>
      <x:c r="M31" s="52" t="n">
        <x:v>150</x:v>
      </x:c>
      <x:c r="N31" s="52" t="n">
        <x:v>1800</x:v>
      </x:c>
    </x:row>
    <x:row r="32">
      <x:c r="A32" s="61" t="str">
        <x:v>BENEFICIO ANTES DE IMPUESTOS</x:v>
      </x:c>
      <x:c r="B32" s="53" t="n">
        <x:v>2543.199999999997</x:v>
      </x:c>
      <x:c r="C32" s="53" t="n">
        <x:v>2267.4000000000015</x:v>
      </x:c>
      <x:c r="D32" s="53" t="n">
        <x:v>3044.5999999999985</x:v>
      </x:c>
      <x:c r="E32" s="53" t="n">
        <x:v>5208.5999999999985</x:v>
      </x:c>
      <x:c r="F32" s="53" t="n">
        <x:v>4244.199999999997</x:v>
      </x:c>
      <x:c r="G32" s="53" t="n">
        <x:v>4416</x:v>
      </x:c>
      <x:c r="H32" s="53" t="n">
        <x:v>4942</x:v>
      </x:c>
      <x:c r="I32" s="53" t="n">
        <x:v>3884.4000000000015</x:v>
      </x:c>
      <x:c r="J32" s="53" t="n">
        <x:v>5852.199999999997</x:v>
      </x:c>
      <x:c r="K32" s="53" t="n">
        <x:v>6753.199999999997</x:v>
      </x:c>
      <x:c r="L32" s="53" t="n">
        <x:v>7555.4000000000015</x:v>
      </x:c>
      <x:c r="M32" s="53" t="n">
        <x:v>8827.199999999997</x:v>
      </x:c>
      <x:c r="N32" s="53" t="n">
        <x:v>59538.39999999999</x:v>
      </x:c>
    </x:row>
    <x:row r="33">
      <x:c r="A33" s="60" t="str">
        <x:v>Impuesto estimado</x:v>
      </x:c>
      <x:c r="B33" s="52" t="n">
        <x:v>508.64</x:v>
      </x:c>
      <x:c r="C33" s="52" t="n">
        <x:v>453.48</x:v>
      </x:c>
      <x:c r="D33" s="52" t="n">
        <x:v>608.92</x:v>
      </x:c>
      <x:c r="E33" s="52" t="n">
        <x:v>1041.72</x:v>
      </x:c>
      <x:c r="F33" s="52" t="n">
        <x:v>848.84</x:v>
      </x:c>
      <x:c r="G33" s="52" t="n">
        <x:v>883.2</x:v>
      </x:c>
      <x:c r="H33" s="52" t="n">
        <x:v>988.4</x:v>
      </x:c>
      <x:c r="I33" s="52" t="n">
        <x:v>776.88</x:v>
      </x:c>
      <x:c r="J33" s="52" t="n">
        <x:v>1170.44</x:v>
      </x:c>
      <x:c r="K33" s="52" t="n">
        <x:v>1350.64</x:v>
      </x:c>
      <x:c r="L33" s="52" t="n">
        <x:v>1511.08</x:v>
      </x:c>
      <x:c r="M33" s="52" t="n">
        <x:v>1765.44</x:v>
      </x:c>
      <x:c r="N33" s="52" t="n">
        <x:v>11907.68</x:v>
      </x:c>
    </x:row>
    <x:row r="34">
      <x:c r="A34" s="61" t="str">
        <x:v>BENEFICIO NETO</x:v>
      </x:c>
      <x:c r="B34" s="53" t="n">
        <x:v>2034.56</x:v>
      </x:c>
      <x:c r="C34" s="53" t="n">
        <x:v>1813.92</x:v>
      </x:c>
      <x:c r="D34" s="53" t="n">
        <x:v>2435.68</x:v>
      </x:c>
      <x:c r="E34" s="53" t="n">
        <x:v>4166.88</x:v>
      </x:c>
      <x:c r="F34" s="53" t="n">
        <x:v>3395.36</x:v>
      </x:c>
      <x:c r="G34" s="53" t="n">
        <x:v>3532.8</x:v>
      </x:c>
      <x:c r="H34" s="53" t="n">
        <x:v>3953.6</x:v>
      </x:c>
      <x:c r="I34" s="53" t="n">
        <x:v>3107.52</x:v>
      </x:c>
      <x:c r="J34" s="53" t="n">
        <x:v>4681.76</x:v>
      </x:c>
      <x:c r="K34" s="53" t="n">
        <x:v>5402.56</x:v>
      </x:c>
      <x:c r="L34" s="53" t="n">
        <x:v>6044.32</x:v>
      </x:c>
      <x:c r="M34" s="53" t="n">
        <x:v>7061.76</x:v>
      </x:c>
      <x:c r="N34" s="53" t="n">
        <x:v>47630.72</x:v>
      </x:c>
    </x:row>
    <x:row r="35">
      <x:c r="A35" s="62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</x:row>
    <x:row r="36" ht="24" customHeight="1">
      <x:c r="A36" s="63" t="str">
        <x:v>TESORERÍA</x:v>
      </x:c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</x:row>
    <x:row r="37">
      <x:c r="A37" s="60" t="str">
        <x:v>Saldo inicial del mes</x:v>
      </x:c>
      <x:c r="B37" s="52" t="n">
        <x:v>18000</x:v>
      </x:c>
      <x:c r="C37" s="52" t="n">
        <x:v>32159.2</x:v>
      </x:c>
      <x:c r="D37" s="52" t="n">
        <x:v>33924.15</x:v>
      </x:c>
      <x:c r="E37" s="52" t="n">
        <x:v>34395</x:v>
      </x:c>
      <x:c r="F37" s="52" t="n">
        <x:v>27387.6</x:v>
      </x:c>
      <x:c r="G37" s="52" t="n">
        <x:v>31465.55</x:v>
      </x:c>
      <x:c r="H37" s="52" t="n">
        <x:v>32848.4</x:v>
      </x:c>
      <x:c r="I37" s="52" t="n">
        <x:v>37631.5</x:v>
      </x:c>
      <x:c r="J37" s="52" t="n">
        <x:v>40634.3</x:v>
      </x:c>
      <x:c r="K37" s="52" t="n">
        <x:v>43053.5</x:v>
      </x:c>
      <x:c r="L37" s="52" t="n">
        <x:v>44678.7</x:v>
      </x:c>
      <x:c r="M37" s="52" t="n">
        <x:v>52103.8</x:v>
      </x:c>
      <x:c r="N37" s="52" t="n">
        <x:v>18000</x:v>
      </x:c>
    </x:row>
    <x:row r="38">
      <x:c r="A38" s="60" t="str">
        <x:v>Cobros de ventas</x:v>
      </x:c>
      <x:c r="B38" s="52" t="n">
        <x:v>51839.5</x:v>
      </x:c>
      <x:c r="C38" s="52" t="n">
        <x:v>50446.5</x:v>
      </x:c>
      <x:c r="D38" s="52" t="n">
        <x:v>53282.25</x:v>
      </x:c>
      <x:c r="E38" s="52" t="n">
        <x:v>56516</x:v>
      </x:c>
      <x:c r="F38" s="52" t="n">
        <x:v>57063.25</x:v>
      </x:c>
      <x:c r="G38" s="52" t="n">
        <x:v>60695</x:v>
      </x:c>
      <x:c r="H38" s="52" t="n">
        <x:v>63182.5</x:v>
      </x:c>
      <x:c r="I38" s="52" t="n">
        <x:v>58406.5</x:v>
      </x:c>
      <x:c r="J38" s="52" t="n">
        <x:v>63033.25</x:v>
      </x:c>
      <x:c r="K38" s="52" t="n">
        <x:v>66018.25</x:v>
      </x:c>
      <x:c r="L38" s="52" t="n">
        <x:v>69102.75</x:v>
      </x:c>
      <x:c r="M38" s="52" t="n">
        <x:v>78704.5</x:v>
      </x:c>
      <x:c r="N38" s="52" t="n">
        <x:v>728290.25</x:v>
      </x:c>
    </x:row>
    <x:row r="39">
      <x:c r="A39" s="60" t="str">
        <x:v>Pagos a proveedores</x:v>
      </x:c>
      <x:c r="B39" s="52" t="n">
        <x:v>-34533.5</x:v>
      </x:c>
      <x:c r="C39" s="52" t="n">
        <x:v>-35665.95</x:v>
      </x:c>
      <x:c r="D39" s="52" t="n">
        <x:v>-37183</x:v>
      </x:c>
      <x:c r="E39" s="52" t="n">
        <x:v>-38429</x:v>
      </x:c>
      <x:c r="F39" s="52" t="n">
        <x:v>-39846.5</x:v>
      </x:c>
      <x:c r="G39" s="52" t="n">
        <x:v>-42174.15</x:v>
      </x:c>
      <x:c r="H39" s="52" t="n">
        <x:v>-44011.4</x:v>
      </x:c>
      <x:c r="I39" s="52" t="n">
        <x:v>-41504.1</x:v>
      </x:c>
      <x:c r="J39" s="52" t="n">
        <x:v>-43757.25</x:v>
      </x:c>
      <x:c r="K39" s="52" t="n">
        <x:v>-45962.25</x:v>
      </x:c>
      <x:c r="L39" s="52" t="n">
        <x:v>-48062.05</x:v>
      </x:c>
      <x:c r="M39" s="52" t="n">
        <x:v>-53845.35</x:v>
      </x:c>
      <x:c r="N39" s="52" t="n">
        <x:v>-504974.5</x:v>
      </x:c>
    </x:row>
    <x:row r="40">
      <x:c r="A40" s="60" t="str">
        <x:v>Pagos de personal</x:v>
      </x:c>
      <x:c r="B40" s="52" t="n">
        <x:v>-7800</x:v>
      </x:c>
      <x:c r="C40" s="52" t="n">
        <x:v>-7800</x:v>
      </x:c>
      <x:c r="D40" s="52" t="n">
        <x:v>-7800</x:v>
      </x:c>
      <x:c r="E40" s="52" t="n">
        <x:v>-7800</x:v>
      </x:c>
      <x:c r="F40" s="52" t="n">
        <x:v>-7800</x:v>
      </x:c>
      <x:c r="G40" s="52" t="n">
        <x:v>-8500</x:v>
      </x:c>
      <x:c r="H40" s="52" t="n">
        <x:v>-8500</x:v>
      </x:c>
      <x:c r="I40" s="52" t="n">
        <x:v>-8000</x:v>
      </x:c>
      <x:c r="J40" s="52" t="n">
        <x:v>-7800</x:v>
      </x:c>
      <x:c r="K40" s="52" t="n">
        <x:v>-7800</x:v>
      </x:c>
      <x:c r="L40" s="52" t="n">
        <x:v>-7800</x:v>
      </x:c>
      <x:c r="M40" s="52" t="n">
        <x:v>-9000</x:v>
      </x:c>
      <x:c r="N40" s="52" t="n">
        <x:v>-96400</x:v>
      </x:c>
    </x:row>
    <x:row r="41">
      <x:c r="A41" s="60" t="str">
        <x:v>Pagos de alquiler, luz y agua</x:v>
      </x:c>
      <x:c r="B41" s="52" t="n">
        <x:v>-2680</x:v>
      </x:c>
      <x:c r="C41" s="52" t="n">
        <x:v>-2630</x:v>
      </x:c>
      <x:c r="D41" s="52" t="n">
        <x:v>-2600</x:v>
      </x:c>
      <x:c r="E41" s="52" t="n">
        <x:v>-2580</x:v>
      </x:c>
      <x:c r="F41" s="52" t="n">
        <x:v>-2560</x:v>
      </x:c>
      <x:c r="G41" s="52" t="n">
        <x:v>-2630</x:v>
      </x:c>
      <x:c r="H41" s="52" t="n">
        <x:v>-2880</x:v>
      </x:c>
      <x:c r="I41" s="52" t="n">
        <x:v>-3030</x:v>
      </x:c>
      <x:c r="J41" s="52" t="n">
        <x:v>-2680</x:v>
      </x:c>
      <x:c r="K41" s="52" t="n">
        <x:v>-2630</x:v>
      </x:c>
      <x:c r="L41" s="52" t="n">
        <x:v>-2680</x:v>
      </x:c>
      <x:c r="M41" s="52" t="n">
        <x:v>-2930</x:v>
      </x:c>
      <x:c r="N41" s="52" t="n">
        <x:v>-32510</x:v>
      </x:c>
    </x:row>
    <x:row r="42">
      <x:c r="A42" s="60" t="str">
        <x:v>Otros pagos del negocio</x:v>
      </x:c>
      <x:c r="B42" s="52" t="n">
        <x:v>-1916.8</x:v>
      </x:c>
      <x:c r="C42" s="52" t="n">
        <x:v>-1835.6</x:v>
      </x:c>
      <x:c r="D42" s="52" t="n">
        <x:v>-1978.4</x:v>
      </x:c>
      <x:c r="E42" s="52" t="n">
        <x:v>-1964.4</x:v>
      </x:c>
      <x:c r="F42" s="52" t="n">
        <x:v>-2028.8</x:v>
      </x:c>
      <x:c r="G42" s="52" t="n">
        <x:v>-2258</x:v>
      </x:c>
      <x:c r="H42" s="52" t="n">
        <x:v>-2258</x:v>
      </x:c>
      <x:c r="I42" s="52" t="n">
        <x:v>-2119.6</x:v>
      </x:c>
      <x:c r="J42" s="52" t="n">
        <x:v>-2126.8</x:v>
      </x:c>
      <x:c r="K42" s="52" t="n">
        <x:v>-2250.8</x:v>
      </x:c>
      <x:c r="L42" s="52" t="n">
        <x:v>-2385.6</x:v>
      </x:c>
      <x:c r="M42" s="52" t="n">
        <x:v>-2882.8</x:v>
      </x:c>
      <x:c r="N42" s="52" t="n">
        <x:v>-26005.6</x:v>
      </x:c>
    </x:row>
    <x:row r="43">
      <x:c r="A43" s="60" t="str">
        <x:v>Impuestos pagados</x:v>
      </x:c>
      <x:c r="B43" s="52" t="n">
        <x:v>0</x:v>
      </x:c>
      <x:c r="C43" s="52" t="n">
        <x:v>0</x:v>
      </x:c>
      <x:c r="D43" s="52" t="n">
        <x:v>-2500</x:v>
      </x:c>
      <x:c r="E43" s="52" t="n">
        <x:v>0</x:v>
      </x:c>
      <x:c r="F43" s="52" t="n">
        <x:v>0</x:v>
      </x:c>
      <x:c r="G43" s="52" t="n">
        <x:v>-3000</x:v>
      </x:c>
      <x:c r="H43" s="52" t="n">
        <x:v>0</x:v>
      </x:c>
      <x:c r="I43" s="52" t="n">
        <x:v>0</x:v>
      </x:c>
      <x:c r="J43" s="52" t="n">
        <x:v>-3500</x:v>
      </x:c>
      <x:c r="K43" s="52" t="n">
        <x:v>0</x:v>
      </x:c>
      <x:c r="L43" s="52" t="n">
        <x:v>0</x:v>
      </x:c>
      <x:c r="M43" s="52" t="n">
        <x:v>-4500</x:v>
      </x:c>
      <x:c r="N43" s="52" t="n">
        <x:v>-13500</x:v>
      </x:c>
    </x:row>
    <x:row r="44">
      <x:c r="A44" s="60" t="str">
        <x:v>Compra de neveras y equipos</x:v>
      </x:c>
      <x:c r="B44" s="52" t="n">
        <x:v>0</x:v>
      </x:c>
      <x:c r="C44" s="52" t="n">
        <x:v>0</x:v>
      </x:c>
      <x:c r="D44" s="52" t="n">
        <x:v>0</x:v>
      </x:c>
      <x:c r="E44" s="52" t="n">
        <x:v>-12000</x:v>
      </x:c>
      <x:c r="F44" s="52" t="n">
        <x:v>0</x:v>
      </x:c>
      <x:c r="G44" s="52" t="n">
        <x:v>0</x:v>
      </x:c>
      <x:c r="H44" s="52" t="n">
        <x:v>0</x:v>
      </x:c>
      <x:c r="I44" s="52" t="n">
        <x:v>0</x:v>
      </x:c>
      <x:c r="J44" s="52" t="n">
        <x:v>0</x:v>
      </x:c>
      <x:c r="K44" s="52" t="n">
        <x:v>-5000</x:v>
      </x:c>
      <x:c r="L44" s="52" t="n">
        <x:v>0</x:v>
      </x:c>
      <x:c r="M44" s="52" t="n">
        <x:v>0</x:v>
      </x:c>
      <x:c r="N44" s="52" t="n">
        <x:v>-17000</x:v>
      </x:c>
    </x:row>
    <x:row r="45">
      <x:c r="A45" s="60" t="str">
        <x:v>Préstamo recibido</x:v>
      </x:c>
      <x:c r="B45" s="52" t="n">
        <x:v>10000</x:v>
      </x:c>
      <x:c r="C45" s="52" t="n">
        <x:v>0</x:v>
      </x:c>
      <x:c r="D45" s="52" t="n">
        <x:v>0</x:v>
      </x:c>
      <x:c r="E45" s="52" t="n">
        <x:v>0</x:v>
      </x:c>
      <x:c r="F45" s="52" t="n">
        <x:v>0</x:v>
      </x:c>
      <x:c r="G45" s="52" t="n">
        <x:v>0</x:v>
      </x:c>
      <x:c r="H45" s="52" t="n">
        <x:v>0</x:v>
      </x:c>
      <x:c r="I45" s="52" t="n">
        <x:v>0</x:v>
      </x:c>
      <x:c r="J45" s="52" t="n">
        <x:v>0</x:v>
      </x:c>
      <x:c r="K45" s="52" t="n">
        <x:v>0</x:v>
      </x:c>
      <x:c r="L45" s="52" t="n">
        <x:v>0</x:v>
      </x:c>
      <x:c r="M45" s="52" t="n">
        <x:v>0</x:v>
      </x:c>
      <x:c r="N45" s="52" t="n">
        <x:v>10000</x:v>
      </x:c>
    </x:row>
    <x:row r="46">
      <x:c r="A46" s="60" t="str">
        <x:v>Devolución del préstamo</x:v>
      </x:c>
      <x:c r="B46" s="52" t="n">
        <x:v>-600</x:v>
      </x:c>
      <x:c r="C46" s="52" t="n">
        <x:v>-600</x:v>
      </x:c>
      <x:c r="D46" s="52" t="n">
        <x:v>-600</x:v>
      </x:c>
      <x:c r="E46" s="52" t="n">
        <x:v>-600</x:v>
      </x:c>
      <x:c r="F46" s="52" t="n">
        <x:v>-600</x:v>
      </x:c>
      <x:c r="G46" s="52" t="n">
        <x:v>-600</x:v>
      </x:c>
      <x:c r="H46" s="52" t="n">
        <x:v>-600</x:v>
      </x:c>
      <x:c r="I46" s="52" t="n">
        <x:v>-600</x:v>
      </x:c>
      <x:c r="J46" s="52" t="n">
        <x:v>-600</x:v>
      </x:c>
      <x:c r="K46" s="52" t="n">
        <x:v>-600</x:v>
      </x:c>
      <x:c r="L46" s="52" t="n">
        <x:v>-600</x:v>
      </x:c>
      <x:c r="M46" s="52" t="n">
        <x:v>-600</x:v>
      </x:c>
      <x:c r="N46" s="52" t="n">
        <x:v>-7200</x:v>
      </x:c>
    </x:row>
    <x:row r="47">
      <x:c r="A47" s="60" t="str">
        <x:v>Intereses pagados</x:v>
      </x:c>
      <x:c r="B47" s="52" t="n">
        <x:v>-150</x:v>
      </x:c>
      <x:c r="C47" s="52" t="n">
        <x:v>-150</x:v>
      </x:c>
      <x:c r="D47" s="52" t="n">
        <x:v>-150</x:v>
      </x:c>
      <x:c r="E47" s="52" t="n">
        <x:v>-150</x:v>
      </x:c>
      <x:c r="F47" s="52" t="n">
        <x:v>-150</x:v>
      </x:c>
      <x:c r="G47" s="52" t="n">
        <x:v>-150</x:v>
      </x:c>
      <x:c r="H47" s="52" t="n">
        <x:v>-150</x:v>
      </x:c>
      <x:c r="I47" s="52" t="n">
        <x:v>-150</x:v>
      </x:c>
      <x:c r="J47" s="52" t="n">
        <x:v>-150</x:v>
      </x:c>
      <x:c r="K47" s="52" t="n">
        <x:v>-150</x:v>
      </x:c>
      <x:c r="L47" s="52" t="n">
        <x:v>-150</x:v>
      </x:c>
      <x:c r="M47" s="52" t="n">
        <x:v>-150</x:v>
      </x:c>
      <x:c r="N47" s="52" t="n">
        <x:v>-1800</x:v>
      </x:c>
    </x:row>
    <x:row r="48">
      <x:c r="A48" s="61" t="str">
        <x:v>CASH NETO DEL MES</x:v>
      </x:c>
      <x:c r="B48" s="53" t="n">
        <x:v>14159.2</x:v>
      </x:c>
      <x:c r="C48" s="53" t="n">
        <x:v>1764.95</x:v>
      </x:c>
      <x:c r="D48" s="53" t="n">
        <x:v>470.85</x:v>
      </x:c>
      <x:c r="E48" s="53" t="n">
        <x:v>-7007.4</x:v>
      </x:c>
      <x:c r="F48" s="53" t="n">
        <x:v>4077.95</x:v>
      </x:c>
      <x:c r="G48" s="53" t="n">
        <x:v>1382.85</x:v>
      </x:c>
      <x:c r="H48" s="53" t="n">
        <x:v>4783.1</x:v>
      </x:c>
      <x:c r="I48" s="53" t="n">
        <x:v>3002.8</x:v>
      </x:c>
      <x:c r="J48" s="53" t="n">
        <x:v>2419.2</x:v>
      </x:c>
      <x:c r="K48" s="53" t="n">
        <x:v>1625.2</x:v>
      </x:c>
      <x:c r="L48" s="53" t="n">
        <x:v>7425.1</x:v>
      </x:c>
      <x:c r="M48" s="53" t="n">
        <x:v>4796.35</x:v>
      </x:c>
      <x:c r="N48" s="53" t="n">
        <x:v>38900.15</x:v>
      </x:c>
    </x:row>
    <x:row r="49">
      <x:c r="A49" s="61" t="str">
        <x:v>SALDO FINAL DEL MES</x:v>
      </x:c>
      <x:c r="B49" s="53" t="n">
        <x:v>32159.2</x:v>
      </x:c>
      <x:c r="C49" s="53" t="n">
        <x:v>33924.15</x:v>
      </x:c>
      <x:c r="D49" s="53" t="n">
        <x:v>34395</x:v>
      </x:c>
      <x:c r="E49" s="53" t="n">
        <x:v>27387.6</x:v>
      </x:c>
      <x:c r="F49" s="53" t="n">
        <x:v>31465.55</x:v>
      </x:c>
      <x:c r="G49" s="53" t="n">
        <x:v>32848.4</x:v>
      </x:c>
      <x:c r="H49" s="53" t="n">
        <x:v>37631.5</x:v>
      </x:c>
      <x:c r="I49" s="53" t="n">
        <x:v>40634.3</x:v>
      </x:c>
      <x:c r="J49" s="53" t="n">
        <x:v>43053.5</x:v>
      </x:c>
      <x:c r="K49" s="53" t="n">
        <x:v>44678.7</x:v>
      </x:c>
      <x:c r="L49" s="53" t="n">
        <x:v>52103.8</x:v>
      </x:c>
      <x:c r="M49" s="53" t="n">
        <x:v>56900.15</x:v>
      </x:c>
      <x:c r="N49" s="53" t="n">
        <x:v>56900.15</x:v>
      </x:c>
    </x:row>
    <x:row r="52" ht="30" customHeight="1">
      <x:c r="A52" s="68" t="str">
        <x:v>Nota: el total anual del saldo inicial corresponde a enero y el saldo final anual corresponde a diciembre; los saldos mensuales no deben sumarse.</x:v>
      </x:c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</x:row>
  </x:sheetData>
  <x:mergeCells>
    <x:mergeCell ref="A1:N1"/>
    <x:mergeCell ref="A2:N2"/>
    <x:mergeCell ref="A5:N5"/>
    <x:mergeCell ref="A15:N15"/>
    <x:mergeCell ref="A36:N36"/>
    <x:mergeCell ref="A52:N52"/>
  </x:mergeCells>
  <x:conditionalFormatting sqref="B37:N49">
    <x:cfRule type="expression" dxfId="0" priority="1">
      <x:formula>B37&lt;0</x:formula>
    </x:cfRule>
  </x:conditionalFormatting>
  <x:pageMargins left="0.7" right="0.7" top="0.75" bottom="0.75" header="0.3" footer="0.3"/>
</x:worksheet>
</file>