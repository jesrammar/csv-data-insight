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4b844365a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nta resultados" sheetId="1" r:id="Rb42dbb6b7c9a4a58"/>
    <x:sheet xmlns:r="http://schemas.openxmlformats.org/officeDocument/2006/relationships" name="Tesorería 2026" sheetId="2" r:id="R3bf886af64e8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[$€-es-ES];[Red](#,##0.00 [$€-es-ES]);-"/>
    <x:numFmt numFmtId="201" formatCode="0.0%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14243D"/>
      <x:name val="Carlito"/>
    </x:font>
    <x:font>
      <x:sz val="10"/>
      <x:color rgb="FF1F2937"/>
      <x:name val="Carlito"/>
    </x:font>
    <x:font>
      <x:sz val="10"/>
      <x:color rgb="FF0000FF"/>
      <x:name val="Carlito"/>
    </x:font>
    <x:font>
      <x:b/>
      <x:sz val="10"/>
      <x:color rgb="FF000000"/>
      <x:name val="Carlito"/>
    </x:font>
    <x:font>
      <x:b/>
      <x:sz val="10"/>
      <x:color rgb="FF14243D"/>
      <x:name val="Carlito"/>
    </x:font>
    <x:font>
      <x:i/>
      <x:sz val="10"/>
      <x:color rgb="FF1F2937"/>
      <x:name val="Carlito"/>
    </x:font>
    <x:font>
      <x:i/>
      <x:sz val="11"/>
      <x:color rgb="FF4B5563"/>
      <x:name val="Carlito"/>
    </x:font>
    <x:font>
      <x:sz val="11"/>
      <x:color rgb="FF1F2937"/>
      <x:name val="Carlito"/>
    </x:font>
    <x:font>
      <x:sz val="11"/>
      <x:color rgb="FF0000FF"/>
      <x:name val="Carlito"/>
    </x:font>
    <x:font>
      <x:sz val="10"/>
      <x:color rgb="FF008000"/>
      <x:name val="Carlito"/>
    </x:font>
    <x:font>
      <x:sz val="10"/>
      <x:color rgb="FF000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43D"/>
      </x:patternFill>
    </x:fill>
    <x:fill>
      <x:patternFill patternType="solid">
        <x:fgColor rgb="FF1F5FAF"/>
      </x:patternFill>
    </x:fill>
    <x:fill>
      <x:patternFill patternType="solid">
        <x:fgColor rgb="FFDDEAF8"/>
      </x:patternFill>
    </x:fill>
    <x:fill>
      <x:patternFill patternType="solid">
        <x:fgColor rgb="FFE8F5E9"/>
      </x:patternFill>
    </x:fill>
    <x:fill>
      <x:patternFill patternType="solid">
        <x:fgColor rgb="FFFFF4E5"/>
      </x:patternFill>
    </x:fill>
    <x:fill>
      <x:patternFill patternType="solid">
        <x:fgColor rgb="FFFFF8E1"/>
      </x:patternFill>
    </x:fill>
    <x:fill>
      <x:patternFill patternType="solid">
        <x:fgColor rgb="FFF3F6FA"/>
      </x:patternFill>
    </x:fill>
    <x:fill>
      <x:patternFill patternType="solid">
        <x:fgColor rgb="FFFFFBEA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0" fontId="6" fillId="0" borderId="1" xfId="0" applyNumberFormat="1" applyFont="1" applyFill="1" applyBorder="1" applyAlignment="1">
      <x:alignment horizontal="right"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horizontal="right"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200" fontId="7" fillId="5" borderId="0" xfId="0" applyNumberFormat="1" applyFont="1" applyFill="1" applyBorder="1" applyAlignment="1">
      <x:alignment horizontal="right"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horizontal="right" vertical="center"/>
    </x:xf>
    <x:xf numFmtId="0" fontId="7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 wrapText="1"/>
    </x:xf>
    <x:xf numFmtId="200" fontId="7" fillId="5" borderId="1" xfId="0" applyNumberFormat="1" applyFont="1" applyFill="1" applyBorder="1" applyAlignment="1">
      <x:alignment horizontal="right"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horizontal="right"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 wrapText="1"/>
    </x:xf>
    <x:xf numFmtId="200" fontId="7" fillId="6" borderId="0" xfId="0" applyNumberFormat="1" applyFont="1" applyFill="1" applyBorder="1" applyAlignment="1">
      <x:alignment horizontal="right"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200" fontId="6" fillId="6" borderId="1" xfId="0" applyNumberFormat="1" applyFont="1" applyFill="1" applyBorder="1" applyAlignment="1">
      <x:alignment horizontal="right" vertical="center"/>
    </x:xf>
    <x:xf numFmtId="0" fontId="7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horizontal="right"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200" fontId="5" fillId="7" borderId="0" xfId="0" applyNumberFormat="1" applyFont="1" applyFill="1" applyBorder="1" applyAlignment="1">
      <x:alignment horizontal="right" vertical="center"/>
    </x:xf>
    <x:xf numFmtId="200" fontId="4" fillId="7" borderId="0" xfId="0" applyNumberFormat="1" applyFont="1" applyFill="1" applyBorder="1" applyAlignment="1">
      <x:alignment horizontal="right"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 wrapText="1"/>
    </x:xf>
    <x:xf numFmtId="200" fontId="8" fillId="7" borderId="0" xfId="0" applyNumberFormat="1" applyFont="1" applyFill="1" applyBorder="1" applyAlignment="1">
      <x:alignment horizontal="right" vertical="center"/>
    </x:xf>
    <x:xf numFmtId="0" fontId="4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 wrapText="1"/>
    </x:xf>
    <x:xf numFmtId="200" fontId="5" fillId="7" borderId="1" xfId="0" applyNumberFormat="1" applyFont="1" applyFill="1" applyBorder="1" applyAlignment="1">
      <x:alignment horizontal="right" vertical="center"/>
    </x:xf>
    <x:xf numFmtId="200" fontId="4" fillId="7" borderId="1" xfId="0" applyNumberFormat="1" applyFont="1" applyFill="1" applyBorder="1" applyAlignment="1">
      <x:alignment horizontal="right" vertical="center"/>
    </x:xf>
    <x:xf numFmtId="0" fontId="8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 wrapText="1"/>
    </x:xf>
    <x:xf numFmtId="200" fontId="8" fillId="7" borderId="1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10" fillId="8" borderId="0" xfId="0" applyNumberFormat="1" applyFont="1" applyFill="1" applyBorder="1"/>
    <x:xf numFmtId="0" fontId="10" fillId="8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11" fillId="9" borderId="0" xfId="0" applyNumberFormat="1" applyFont="1" applyFill="1" applyBorder="1"/>
    <x:xf numFmtId="0" fontId="11" fillId="9" borderId="1" xfId="0" applyNumberFormat="1" applyFont="1" applyFill="1" applyBorder="1"/>
    <x:xf numFmtId="201" fontId="11" fillId="9" borderId="0" xfId="0" applyNumberFormat="1" applyFont="1" applyFill="1" applyBorder="1"/>
    <x:xf numFmtId="201" fontId="11" fillId="9" borderId="1" xfId="0" applyNumberFormat="1" applyFont="1" applyFill="1" applyBorder="1"/>
    <x:xf numFmtId="200" fontId="11" fillId="9" borderId="0" xfId="0" applyNumberFormat="1" applyFont="1" applyFill="1" applyBorder="1"/>
    <x:xf numFmtId="200" fontId="11" fillId="9" borderId="1" xfId="0" applyNumberFormat="1" applyFont="1" applyFill="1" applyBorder="1"/>
    <x:xf numFmtId="200" fontId="12" fillId="0" borderId="0" xfId="0" applyNumberFormat="1" applyFont="1" applyFill="1" applyBorder="1" applyAlignment="1">
      <x:alignment horizontal="right" vertical="center"/>
    </x:xf>
    <x:xf numFmtId="200" fontId="12" fillId="0" borderId="1" xfId="0" applyNumberFormat="1" applyFont="1" applyFill="1" applyBorder="1" applyAlignment="1">
      <x:alignment horizontal="right" vertical="center"/>
    </x:xf>
    <x:xf numFmtId="200" fontId="13" fillId="0" borderId="0" xfId="0" applyNumberFormat="1" applyFont="1" applyFill="1" applyBorder="1" applyAlignment="1">
      <x:alignment horizontal="right" vertical="center"/>
    </x:xf>
    <x:xf numFmtId="200" fontId="13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2a617440a4072" /><Relationship Type="http://schemas.openxmlformats.org/officeDocument/2006/relationships/theme" Target="/xl/theme/theme1.xml" Id="Rb0459e909ebc4fea" /><Relationship Type="http://schemas.openxmlformats.org/officeDocument/2006/relationships/sharedStrings" Target="/xl/sharedStrings.xml" Id="Rb36eae76829f4e31" /><Relationship Type="http://schemas.openxmlformats.org/officeDocument/2006/relationships/worksheet" Target="/xl/worksheets/sheet1.xml" Id="Rb42dbb6b7c9a4a58" /><Relationship Type="http://schemas.openxmlformats.org/officeDocument/2006/relationships/worksheet" Target="/xl/worksheets/sheet2.xml" Id="R3bf886af64e842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6" hidden="0" customWidth="1"/>
  </x:cols>
  <x:sheetData>
    <x:row r="1" ht="36" customHeight="1">
      <x:c r="A1" s="5" t="str">
        <x:v>TALLER MOTORSUR — PLAN ANUAL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88" t="str">
        <x:v>Empresa</x:v>
      </x:c>
      <x:c r="B2" s="86" t="str">
        <x:v>Taller MotorSur S.L.</x:v>
      </x:c>
      <x:c r="C2" s="88" t="str">
        <x:v>Escenario</x:v>
      </x:c>
      <x:c r="D2" s="86" t="str">
        <x:v>Presupuesto base</x:v>
      </x:c>
      <x:c r="E2" s="88" t="str">
        <x:v>Moneda</x:v>
      </x:c>
      <x:c r="F2" s="86" t="str">
        <x:v>EUR</x:v>
      </x:c>
      <x:c r="G2" s="86"/>
      <x:c r="H2" s="88" t="str">
        <x:v>Actividad</x:v>
      </x:c>
      <x:c r="I2" s="86" t="str">
        <x:v>Taller mecánico</x:v>
      </x:c>
      <x:c r="J2" s="88" t="str">
        <x:v>Periodicidad</x:v>
      </x:c>
      <x:c r="K2" s="86" t="str">
        <x:v>Mensual</x:v>
      </x:c>
    </x:row>
    <x:row r="4" ht="25" customHeight="1">
      <x:c r="A4" s="13" t="str">
        <x:v>CUENTA DE PÉRDIDAS Y GANANCIAS PRESUPUESTADA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 ht="30" customHeight="1">
      <x:c r="A5" s="22" t="str">
        <x:v>Cuenta</x:v>
      </x:c>
      <x:c r="B5" s="22" t="str">
        <x:v>Partida</x:v>
      </x:c>
      <x:c r="C5" s="22" t="str">
        <x:v>Enero</x:v>
      </x:c>
      <x:c r="D5" s="22" t="str">
        <x:v>Febrero</x:v>
      </x:c>
      <x:c r="E5" s="22" t="str">
        <x:v>Marzo</x:v>
      </x:c>
      <x:c r="F5" s="22" t="str">
        <x:v>Abril</x:v>
      </x:c>
      <x:c r="G5" s="22" t="str">
        <x:v>Mayo</x:v>
      </x:c>
      <x:c r="H5" s="22" t="str">
        <x:v>Junio</x:v>
      </x:c>
      <x:c r="I5" s="22" t="str">
        <x:v>Julio</x:v>
      </x:c>
      <x:c r="J5" s="22" t="str">
        <x:v>Agosto</x:v>
      </x:c>
      <x:c r="K5" s="22" t="str">
        <x:v>Septiembre</x:v>
      </x:c>
      <x:c r="L5" s="22" t="str">
        <x:v>Octubre</x:v>
      </x:c>
      <x:c r="M5" s="22" t="str">
        <x:v>Noviembre</x:v>
      </x:c>
      <x:c r="N5" s="22" t="str">
        <x:v>Diciembre</x:v>
      </x:c>
      <x:c r="O5" s="22" t="str">
        <x:v>Total 2026</x:v>
      </x:c>
    </x:row>
    <x:row r="6">
      <x:c r="A6" s="29" t="str">
        <x:v>700.01</x:v>
      </x:c>
      <x:c r="B6" s="36" t="str">
        <x:v>Reparaciones y mano de obra</x:v>
      </x:c>
      <x:c r="C6" s="38" t="n">
        <x:v>28000</x:v>
      </x:c>
      <x:c r="D6" s="38" t="n">
        <x:v>30000</x:v>
      </x:c>
      <x:c r="E6" s="38" t="n">
        <x:v>32000</x:v>
      </x:c>
      <x:c r="F6" s="38" t="n">
        <x:v>31000</x:v>
      </x:c>
      <x:c r="G6" s="38" t="n">
        <x:v>33000</x:v>
      </x:c>
      <x:c r="H6" s="38" t="n">
        <x:v>35000</x:v>
      </x:c>
      <x:c r="I6" s="38" t="n">
        <x:v>34000</x:v>
      </x:c>
      <x:c r="J6" s="38" t="n">
        <x:v>29000</x:v>
      </x:c>
      <x:c r="K6" s="38" t="n">
        <x:v>36000</x:v>
      </x:c>
      <x:c r="L6" s="38" t="n">
        <x:v>38000</x:v>
      </x:c>
      <x:c r="M6" s="38" t="n">
        <x:v>40000</x:v>
      </x:c>
      <x:c r="N6" s="38" t="n">
        <x:v>46000</x:v>
      </x:c>
      <x:c r="O6" s="34" t="n">
        <x:f>SUM(C6:N6)</x:f>
        <x:v>412000</x:v>
      </x:c>
    </x:row>
    <x:row r="7">
      <x:c r="A7" s="29" t="str">
        <x:v>700.02</x:v>
      </x:c>
      <x:c r="B7" s="36" t="str">
        <x:v>Venta de recambios y accesorios</x:v>
      </x:c>
      <x:c r="C7" s="38" t="n">
        <x:v>12000</x:v>
      </x:c>
      <x:c r="D7" s="38" t="n">
        <x:v>13000</x:v>
      </x:c>
      <x:c r="E7" s="38" t="n">
        <x:v>14000</x:v>
      </x:c>
      <x:c r="F7" s="38" t="n">
        <x:v>13500</x:v>
      </x:c>
      <x:c r="G7" s="38" t="n">
        <x:v>14500</x:v>
      </x:c>
      <x:c r="H7" s="38" t="n">
        <x:v>15000</x:v>
      </x:c>
      <x:c r="I7" s="38" t="n">
        <x:v>15000</x:v>
      </x:c>
      <x:c r="J7" s="38" t="n">
        <x:v>12000</x:v>
      </x:c>
      <x:c r="K7" s="38" t="n">
        <x:v>16000</x:v>
      </x:c>
      <x:c r="L7" s="38" t="n">
        <x:v>17000</x:v>
      </x:c>
      <x:c r="M7" s="38" t="n">
        <x:v>18000</x:v>
      </x:c>
      <x:c r="N7" s="38" t="n">
        <x:v>21000</x:v>
      </x:c>
      <x:c r="O7" s="34" t="n">
        <x:f>SUM(C7:N7)</x:f>
        <x:v>181000</x:v>
      </x:c>
    </x:row>
    <x:row r="8">
      <x:c r="A8" s="29" t="str">
        <x:v>705</x:v>
      </x:c>
      <x:c r="B8" s="36" t="str">
        <x:v>Diagnosis, pre-ITV y revisiones</x:v>
      </x:c>
      <x:c r="C8" s="38" t="n">
        <x:v>3000</x:v>
      </x:c>
      <x:c r="D8" s="38" t="n">
        <x:v>3200</x:v>
      </x:c>
      <x:c r="E8" s="38" t="n">
        <x:v>3500</x:v>
      </x:c>
      <x:c r="F8" s="38" t="n">
        <x:v>3400</x:v>
      </x:c>
      <x:c r="G8" s="38" t="n">
        <x:v>3700</x:v>
      </x:c>
      <x:c r="H8" s="38" t="n">
        <x:v>4000</x:v>
      </x:c>
      <x:c r="I8" s="38" t="n">
        <x:v>3900</x:v>
      </x:c>
      <x:c r="J8" s="38" t="n">
        <x:v>3100</x:v>
      </x:c>
      <x:c r="K8" s="38" t="n">
        <x:v>4200</x:v>
      </x:c>
      <x:c r="L8" s="38" t="n">
        <x:v>4500</x:v>
      </x:c>
      <x:c r="M8" s="38" t="n">
        <x:v>4700</x:v>
      </x:c>
      <x:c r="N8" s="38" t="n">
        <x:v>5500</x:v>
      </x:c>
      <x:c r="O8" s="34" t="n">
        <x:f>SUM(C8:N8)</x:f>
        <x:v>46700</x:v>
      </x:c>
    </x:row>
    <x:row r="9">
      <x:c r="A9" s="29" t="str">
        <x:v>706</x:v>
      </x:c>
      <x:c r="B9" s="36" t="str">
        <x:v>Contratos de mantenimiento de flotas</x:v>
      </x:c>
      <x:c r="C9" s="38" t="n">
        <x:v>6000</x:v>
      </x:c>
      <x:c r="D9" s="38" t="n">
        <x:v>6000</x:v>
      </x:c>
      <x:c r="E9" s="38" t="n">
        <x:v>6500</x:v>
      </x:c>
      <x:c r="F9" s="38" t="n">
        <x:v>6500</x:v>
      </x:c>
      <x:c r="G9" s="38" t="n">
        <x:v>6500</x:v>
      </x:c>
      <x:c r="H9" s="38" t="n">
        <x:v>8000</x:v>
      </x:c>
      <x:c r="I9" s="38" t="n">
        <x:v>6500</x:v>
      </x:c>
      <x:c r="J9" s="38" t="n">
        <x:v>6000</x:v>
      </x:c>
      <x:c r="K9" s="38" t="n">
        <x:v>7000</x:v>
      </x:c>
      <x:c r="L9" s="38" t="n">
        <x:v>7000</x:v>
      </x:c>
      <x:c r="M9" s="38" t="n">
        <x:v>7500</x:v>
      </x:c>
      <x:c r="N9" s="38" t="n">
        <x:v>9000</x:v>
      </x:c>
      <x:c r="O9" s="34" t="n">
        <x:f>SUM(C9:N9)</x:f>
        <x:v>82500</x:v>
      </x:c>
    </x:row>
    <x:row r="10">
      <x:c r="A10" s="29" t="str">
        <x:v>708</x:v>
      </x:c>
      <x:c r="B10" s="36" t="str">
        <x:v>Siniestros gestionados con aseguradoras</x:v>
      </x:c>
      <x:c r="C10" s="38" t="n">
        <x:v>2000</x:v>
      </x:c>
      <x:c r="D10" s="38" t="n">
        <x:v>0</x:v>
      </x:c>
      <x:c r="E10" s="38" t="n">
        <x:v>0</x:v>
      </x:c>
      <x:c r="F10" s="38" t="n">
        <x:v>4000</x:v>
      </x:c>
      <x:c r="G10" s="38" t="n">
        <x:v>0</x:v>
      </x:c>
      <x:c r="H10" s="38" t="n">
        <x:v>0</x:v>
      </x:c>
      <x:c r="I10" s="38" t="n">
        <x:v>3000</x:v>
      </x:c>
      <x:c r="J10" s="38" t="n">
        <x:v>0</x:v>
      </x:c>
      <x:c r="K10" s="38" t="n">
        <x:v>0</x:v>
      </x:c>
      <x:c r="L10" s="38" t="n">
        <x:v>5000</x:v>
      </x:c>
      <x:c r="M10" s="38" t="n">
        <x:v>0</x:v>
      </x:c>
      <x:c r="N10" s="38" t="n">
        <x:v>6000</x:v>
      </x:c>
      <x:c r="O10" s="34" t="n">
        <x:f>SUM(C10:N10)</x:f>
        <x:v>20000</x:v>
      </x:c>
    </x:row>
    <x:row r="11">
      <x:c r="A11" s="45" t="str"/>
      <x:c r="B11" s="46" t="str">
        <x:v>INGRESOS DE TALLER</x:v>
      </x:c>
      <x:c r="C11" s="47" t="n">
        <x:f>SUM(C6:C10)</x:f>
        <x:v>51000</x:v>
      </x:c>
      <x:c r="D11" s="47" t="n">
        <x:f>SUM(D6:D10)</x:f>
        <x:v>52200</x:v>
      </x:c>
      <x:c r="E11" s="47" t="n">
        <x:f>SUM(E6:E10)</x:f>
        <x:v>56000</x:v>
      </x:c>
      <x:c r="F11" s="47" t="n">
        <x:f>SUM(F6:F10)</x:f>
        <x:v>58400</x:v>
      </x:c>
      <x:c r="G11" s="47" t="n">
        <x:f>SUM(G6:G10)</x:f>
        <x:v>57700</x:v>
      </x:c>
      <x:c r="H11" s="47" t="n">
        <x:f>SUM(H6:H10)</x:f>
        <x:v>62000</x:v>
      </x:c>
      <x:c r="I11" s="47" t="n">
        <x:f>SUM(I6:I10)</x:f>
        <x:v>62400</x:v>
      </x:c>
      <x:c r="J11" s="47" t="n">
        <x:f>SUM(J6:J10)</x:f>
        <x:v>50100</x:v>
      </x:c>
      <x:c r="K11" s="47" t="n">
        <x:f>SUM(K6:K10)</x:f>
        <x:v>63200</x:v>
      </x:c>
      <x:c r="L11" s="47" t="n">
        <x:f>SUM(L6:L10)</x:f>
        <x:v>71500</x:v>
      </x:c>
      <x:c r="M11" s="47" t="n">
        <x:f>SUM(M6:M10)</x:f>
        <x:v>70200</x:v>
      </x:c>
      <x:c r="N11" s="47" t="n">
        <x:f>SUM(N6:N10)</x:f>
        <x:v>87500</x:v>
      </x:c>
      <x:c r="O11" s="47" t="n">
        <x:f>SUM(C11:N11)</x:f>
        <x:v>742200</x:v>
      </x:c>
    </x:row>
    <x:row r="12">
      <x:c r="A12" s="70" t="str">
        <x:v>610/710</x:v>
      </x:c>
      <x:c r="B12" s="71" t="str">
        <x:v>Variación de existencias de recambios</x:v>
      </x:c>
      <x:c r="C12" s="72" t="n">
        <x:v>0</x:v>
      </x:c>
      <x:c r="D12" s="72" t="n">
        <x:v>0</x:v>
      </x:c>
      <x:c r="E12" s="72" t="n">
        <x:v>-3000</x:v>
      </x:c>
      <x:c r="F12" s="72" t="n">
        <x:v>0</x:v>
      </x:c>
      <x:c r="G12" s="72" t="n">
        <x:v>0</x:v>
      </x:c>
      <x:c r="H12" s="72" t="n">
        <x:v>0</x:v>
      </x:c>
      <x:c r="I12" s="72" t="n">
        <x:v>0</x:v>
      </x:c>
      <x:c r="J12" s="72" t="n">
        <x:v>0</x:v>
      </x:c>
      <x:c r="K12" s="72" t="n">
        <x:v>0</x:v>
      </x:c>
      <x:c r="L12" s="72" t="n">
        <x:v>0</x:v>
      </x:c>
      <x:c r="M12" s="72" t="n">
        <x:v>0</x:v>
      </x:c>
      <x:c r="N12" s="72" t="n">
        <x:v>5000</x:v>
      </x:c>
      <x:c r="O12" s="72" t="n">
        <x:f>SUM(C12:N12)</x:f>
        <x:v>2000</x:v>
      </x:c>
    </x:row>
    <x:row r="13" ht="8" customHeight="1">
      <x:c r="A13" s="29" t="str"/>
      <x:c r="B13" s="36" t="str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</x:row>
    <x:row r="14">
      <x:c r="A14" s="29" t="str">
        <x:v>600</x:v>
      </x:c>
      <x:c r="B14" s="36" t="str">
        <x:v>Compras de recambios y consumibles</x:v>
      </x:c>
      <x:c r="C14" s="38" t="n">
        <x:v>10500</x:v>
      </x:c>
      <x:c r="D14" s="38" t="n">
        <x:v>11200</x:v>
      </x:c>
      <x:c r="E14" s="38" t="n">
        <x:v>12000</x:v>
      </x:c>
      <x:c r="F14" s="38" t="n">
        <x:v>11800</x:v>
      </x:c>
      <x:c r="G14" s="38" t="n">
        <x:v>12500</x:v>
      </x:c>
      <x:c r="H14" s="38" t="n">
        <x:v>13200</x:v>
      </x:c>
      <x:c r="I14" s="38" t="n">
        <x:v>12900</x:v>
      </x:c>
      <x:c r="J14" s="38" t="n">
        <x:v>10500</x:v>
      </x:c>
      <x:c r="K14" s="38" t="n">
        <x:v>13900</x:v>
      </x:c>
      <x:c r="L14" s="38" t="n">
        <x:v>14600</x:v>
      </x:c>
      <x:c r="M14" s="38" t="n">
        <x:v>15300</x:v>
      </x:c>
      <x:c r="N14" s="38" t="n">
        <x:v>17800</x:v>
      </x:c>
      <x:c r="O14" s="34" t="n">
        <x:f>SUM(C14:N14)</x:f>
        <x:v>156200</x:v>
      </x:c>
    </x:row>
    <x:row r="15">
      <x:c r="A15" s="29" t="str">
        <x:v>640</x:v>
      </x:c>
      <x:c r="B15" s="36" t="str">
        <x:v>Sueldos y Seguridad Social</x:v>
      </x:c>
      <x:c r="C15" s="38" t="n">
        <x:v>21000</x:v>
      </x:c>
      <x:c r="D15" s="38" t="n">
        <x:v>21000</x:v>
      </x:c>
      <x:c r="E15" s="38" t="n">
        <x:v>21000</x:v>
      </x:c>
      <x:c r="F15" s="38" t="n">
        <x:v>21000</x:v>
      </x:c>
      <x:c r="G15" s="38" t="n">
        <x:v>21000</x:v>
      </x:c>
      <x:c r="H15" s="38" t="n">
        <x:v>24000</x:v>
      </x:c>
      <x:c r="I15" s="38" t="n">
        <x:v>21000</x:v>
      </x:c>
      <x:c r="J15" s="38" t="n">
        <x:v>21000</x:v>
      </x:c>
      <x:c r="K15" s="38" t="n">
        <x:v>21000</x:v>
      </x:c>
      <x:c r="L15" s="38" t="n">
        <x:v>21000</x:v>
      </x:c>
      <x:c r="M15" s="38" t="n">
        <x:v>21000</x:v>
      </x:c>
      <x:c r="N15" s="38" t="n">
        <x:v>24000</x:v>
      </x:c>
      <x:c r="O15" s="34" t="n">
        <x:f>SUM(C15:N15)</x:f>
        <x:v>258000</x:v>
      </x:c>
    </x:row>
    <x:row r="16">
      <x:c r="A16" s="29" t="str">
        <x:v>621</x:v>
      </x:c>
      <x:c r="B16" s="36" t="str">
        <x:v>Alquiler de nave</x:v>
      </x:c>
      <x:c r="C16" s="38" t="n">
        <x:v>4500</x:v>
      </x:c>
      <x:c r="D16" s="38" t="n">
        <x:v>4500</x:v>
      </x:c>
      <x:c r="E16" s="38" t="n">
        <x:v>4500</x:v>
      </x:c>
      <x:c r="F16" s="38" t="n">
        <x:v>4500</x:v>
      </x:c>
      <x:c r="G16" s="38" t="n">
        <x:v>4500</x:v>
      </x:c>
      <x:c r="H16" s="38" t="n">
        <x:v>4500</x:v>
      </x:c>
      <x:c r="I16" s="38" t="n">
        <x:v>4500</x:v>
      </x:c>
      <x:c r="J16" s="38" t="n">
        <x:v>4500</x:v>
      </x:c>
      <x:c r="K16" s="38" t="n">
        <x:v>4500</x:v>
      </x:c>
      <x:c r="L16" s="38" t="n">
        <x:v>4500</x:v>
      </x:c>
      <x:c r="M16" s="38" t="n">
        <x:v>4500</x:v>
      </x:c>
      <x:c r="N16" s="38" t="n">
        <x:v>4500</x:v>
      </x:c>
      <x:c r="O16" s="34" t="n">
        <x:f>SUM(C16:N16)</x:f>
        <x:v>54000</x:v>
      </x:c>
    </x:row>
    <x:row r="17">
      <x:c r="A17" s="29" t="str">
        <x:v>628</x:v>
      </x:c>
      <x:c r="B17" s="36" t="str">
        <x:v>Electricidad, agua y comunicaciones</x:v>
      </x:c>
      <x:c r="C17" s="38" t="n">
        <x:v>1800</x:v>
      </x:c>
      <x:c r="D17" s="38" t="n">
        <x:v>1700</x:v>
      </x:c>
      <x:c r="E17" s="38" t="n">
        <x:v>1650</x:v>
      </x:c>
      <x:c r="F17" s="38" t="n">
        <x:v>1600</x:v>
      </x:c>
      <x:c r="G17" s="38" t="n">
        <x:v>1550</x:v>
      </x:c>
      <x:c r="H17" s="38" t="n">
        <x:v>1700</x:v>
      </x:c>
      <x:c r="I17" s="38" t="n">
        <x:v>1900</x:v>
      </x:c>
      <x:c r="J17" s="38" t="n">
        <x:v>2100</x:v>
      </x:c>
      <x:c r="K17" s="38" t="n">
        <x:v>1750</x:v>
      </x:c>
      <x:c r="L17" s="38" t="n">
        <x:v>1650</x:v>
      </x:c>
      <x:c r="M17" s="38" t="n">
        <x:v>1800</x:v>
      </x:c>
      <x:c r="N17" s="38" t="n">
        <x:v>2200</x:v>
      </x:c>
      <x:c r="O17" s="34" t="n">
        <x:f>SUM(C17:N17)</x:f>
        <x:v>21400</x:v>
      </x:c>
    </x:row>
    <x:row r="18">
      <x:c r="A18" s="29" t="str">
        <x:v>623</x:v>
      </x:c>
      <x:c r="B18" s="36" t="str">
        <x:v>Servicios externos y subcontratación</x:v>
      </x:c>
      <x:c r="C18" s="38" t="n">
        <x:v>2200</x:v>
      </x:c>
      <x:c r="D18" s="38" t="n">
        <x:v>2300</x:v>
      </x:c>
      <x:c r="E18" s="38" t="n">
        <x:v>2500</x:v>
      </x:c>
      <x:c r="F18" s="38" t="n">
        <x:v>2400</x:v>
      </x:c>
      <x:c r="G18" s="38" t="n">
        <x:v>2600</x:v>
      </x:c>
      <x:c r="H18" s="38" t="n">
        <x:v>3100</x:v>
      </x:c>
      <x:c r="I18" s="38" t="n">
        <x:v>2500</x:v>
      </x:c>
      <x:c r="J18" s="38" t="n">
        <x:v>2200</x:v>
      </x:c>
      <x:c r="K18" s="38" t="n">
        <x:v>2800</x:v>
      </x:c>
      <x:c r="L18" s="38" t="n">
        <x:v>2900</x:v>
      </x:c>
      <x:c r="M18" s="38" t="n">
        <x:v>3200</x:v>
      </x:c>
      <x:c r="N18" s="38" t="n">
        <x:v>3800</x:v>
      </x:c>
      <x:c r="O18" s="34" t="n">
        <x:f>SUM(C18:N18)</x:f>
        <x:v>32500</x:v>
      </x:c>
    </x:row>
    <x:row r="19">
      <x:c r="A19" s="29" t="str">
        <x:v>625</x:v>
      </x:c>
      <x:c r="B19" s="36" t="str">
        <x:v>Seguros, gestoría y administración</x:v>
      </x:c>
      <x:c r="C19" s="38" t="n">
        <x:v>1200</x:v>
      </x:c>
      <x:c r="D19" s="38" t="n">
        <x:v>1200</x:v>
      </x:c>
      <x:c r="E19" s="38" t="n">
        <x:v>1200</x:v>
      </x:c>
      <x:c r="F19" s="38" t="n">
        <x:v>1200</x:v>
      </x:c>
      <x:c r="G19" s="38" t="n">
        <x:v>1200</x:v>
      </x:c>
      <x:c r="H19" s="38" t="n">
        <x:v>1200</x:v>
      </x:c>
      <x:c r="I19" s="38" t="n">
        <x:v>1200</x:v>
      </x:c>
      <x:c r="J19" s="38" t="n">
        <x:v>1200</x:v>
      </x:c>
      <x:c r="K19" s="38" t="n">
        <x:v>1200</x:v>
      </x:c>
      <x:c r="L19" s="38" t="n">
        <x:v>1200</x:v>
      </x:c>
      <x:c r="M19" s="38" t="n">
        <x:v>1200</x:v>
      </x:c>
      <x:c r="N19" s="38" t="n">
        <x:v>1200</x:v>
      </x:c>
      <x:c r="O19" s="34" t="n">
        <x:f>SUM(C19:N19)</x:f>
        <x:v>14400</x:v>
      </x:c>
    </x:row>
    <x:row r="20">
      <x:c r="A20" s="29" t="str">
        <x:v>627</x:v>
      </x:c>
      <x:c r="B20" s="36" t="str">
        <x:v>Publicidad y promociones</x:v>
      </x:c>
      <x:c r="C20" s="38" t="n">
        <x:v>500</x:v>
      </x:c>
      <x:c r="D20" s="38" t="n">
        <x:v>550</x:v>
      </x:c>
      <x:c r="E20" s="38" t="n">
        <x:v>600</x:v>
      </x:c>
      <x:c r="F20" s="38" t="n">
        <x:v>650</x:v>
      </x:c>
      <x:c r="G20" s="38" t="n">
        <x:v>700</x:v>
      </x:c>
      <x:c r="H20" s="38" t="n">
        <x:v>900</x:v>
      </x:c>
      <x:c r="I20" s="38" t="n">
        <x:v>750</x:v>
      </x:c>
      <x:c r="J20" s="38" t="n">
        <x:v>400</x:v>
      </x:c>
      <x:c r="K20" s="38" t="n">
        <x:v>800</x:v>
      </x:c>
      <x:c r="L20" s="38" t="n">
        <x:v>900</x:v>
      </x:c>
      <x:c r="M20" s="38" t="n">
        <x:v>1000</x:v>
      </x:c>
      <x:c r="N20" s="38" t="n">
        <x:v>1300</x:v>
      </x:c>
      <x:c r="O20" s="34" t="n">
        <x:f>SUM(C20:N20)</x:f>
        <x:v>9050</x:v>
      </x:c>
    </x:row>
    <x:row r="21">
      <x:c r="A21" s="29" t="str">
        <x:v>629</x:v>
      </x:c>
      <x:c r="B21" s="36" t="str">
        <x:v>Gestión de residuos y tasas ambientales</x:v>
      </x:c>
      <x:c r="C21" s="38" t="n">
        <x:v>650</x:v>
      </x:c>
      <x:c r="D21" s="38" t="n">
        <x:v>650</x:v>
      </x:c>
      <x:c r="E21" s="38" t="n">
        <x:v>700</x:v>
      </x:c>
      <x:c r="F21" s="38" t="n">
        <x:v>700</x:v>
      </x:c>
      <x:c r="G21" s="38" t="n">
        <x:v>750</x:v>
      </x:c>
      <x:c r="H21" s="38" t="n">
        <x:v>800</x:v>
      </x:c>
      <x:c r="I21" s="38" t="n">
        <x:v>750</x:v>
      </x:c>
      <x:c r="J21" s="38" t="n">
        <x:v>700</x:v>
      </x:c>
      <x:c r="K21" s="38" t="n">
        <x:v>800</x:v>
      </x:c>
      <x:c r="L21" s="38" t="n">
        <x:v>850</x:v>
      </x:c>
      <x:c r="M21" s="38" t="n">
        <x:v>900</x:v>
      </x:c>
      <x:c r="N21" s="38" t="n">
        <x:v>1000</x:v>
      </x:c>
      <x:c r="O21" s="34" t="n">
        <x:f>SUM(C21:N21)</x:f>
        <x:v>9250</x:v>
      </x:c>
    </x:row>
    <x:row r="22">
      <x:c r="A22" s="57" t="str"/>
      <x:c r="B22" s="58" t="str">
        <x:v>COSTES OPERATIVOS</x:v>
      </x:c>
      <x:c r="C22" s="59" t="n">
        <x:f>SUM(C14:C21)</x:f>
        <x:v>42350</x:v>
      </x:c>
      <x:c r="D22" s="59" t="n">
        <x:f>SUM(D14:D21)</x:f>
        <x:v>43100</x:v>
      </x:c>
      <x:c r="E22" s="59" t="n">
        <x:f>SUM(E14:E21)</x:f>
        <x:v>44150</x:v>
      </x:c>
      <x:c r="F22" s="59" t="n">
        <x:f>SUM(F14:F21)</x:f>
        <x:v>43850</x:v>
      </x:c>
      <x:c r="G22" s="59" t="n">
        <x:f>SUM(G14:G21)</x:f>
        <x:v>44800</x:v>
      </x:c>
      <x:c r="H22" s="59" t="n">
        <x:f>SUM(H14:H21)</x:f>
        <x:v>49400</x:v>
      </x:c>
      <x:c r="I22" s="59" t="n">
        <x:f>SUM(I14:I21)</x:f>
        <x:v>45500</x:v>
      </x:c>
      <x:c r="J22" s="59" t="n">
        <x:f>SUM(J14:J21)</x:f>
        <x:v>42600</x:v>
      </x:c>
      <x:c r="K22" s="59" t="n">
        <x:f>SUM(K14:K21)</x:f>
        <x:v>46750</x:v>
      </x:c>
      <x:c r="L22" s="59" t="n">
        <x:f>SUM(L14:L21)</x:f>
        <x:v>47600</x:v>
      </x:c>
      <x:c r="M22" s="59" t="n">
        <x:f>SUM(M14:M21)</x:f>
        <x:v>48900</x:v>
      </x:c>
      <x:c r="N22" s="59" t="n">
        <x:f>SUM(N14:N21)</x:f>
        <x:v>55800</x:v>
      </x:c>
      <x:c r="O22" s="59" t="n">
        <x:f>SUM(C22:N22)</x:f>
        <x:v>554800</x:v>
      </x:c>
    </x:row>
    <x:row r="23">
      <x:c r="A23" s="45" t="str"/>
      <x:c r="B23" s="46" t="str">
        <x:v>MARGEN OPERATIVO ANTES DE AMORTIZACIONES</x:v>
      </x:c>
      <x:c r="C23" s="47" t="n">
        <x:f>C11+C12-C22</x:f>
        <x:v>8650</x:v>
      </x:c>
      <x:c r="D23" s="47" t="n">
        <x:f>D11+D12-D22</x:f>
        <x:v>9100</x:v>
      </x:c>
      <x:c r="E23" s="47" t="n">
        <x:f>E11+E12-E22</x:f>
        <x:v>8850</x:v>
      </x:c>
      <x:c r="F23" s="47" t="n">
        <x:f>F11+F12-F22</x:f>
        <x:v>14550</x:v>
      </x:c>
      <x:c r="G23" s="47" t="n">
        <x:f>G11+G12-G22</x:f>
        <x:v>12900</x:v>
      </x:c>
      <x:c r="H23" s="47" t="n">
        <x:f>H11+H12-H22</x:f>
        <x:v>12600</x:v>
      </x:c>
      <x:c r="I23" s="47" t="n">
        <x:f>I11+I12-I22</x:f>
        <x:v>16900</x:v>
      </x:c>
      <x:c r="J23" s="47" t="n">
        <x:f>J11+J12-J22</x:f>
        <x:v>7500</x:v>
      </x:c>
      <x:c r="K23" s="47" t="n">
        <x:f>K11+K12-K22</x:f>
        <x:v>16450</x:v>
      </x:c>
      <x:c r="L23" s="47" t="n">
        <x:f>L11+L12-L22</x:f>
        <x:v>23900</x:v>
      </x:c>
      <x:c r="M23" s="47" t="n">
        <x:f>M11+M12-M22</x:f>
        <x:v>21300</x:v>
      </x:c>
      <x:c r="N23" s="47" t="n">
        <x:f>N11+N12-N22</x:f>
        <x:v>36700</x:v>
      </x:c>
      <x:c r="O23" s="47" t="n">
        <x:f>SUM(C23:N23)</x:f>
        <x:v>189400</x:v>
      </x:c>
    </x:row>
    <x:row r="24">
      <x:c r="A24" s="29" t="str">
        <x:v>681</x:v>
      </x:c>
      <x:c r="B24" s="36" t="str">
        <x:v>Amortización de elevadores, diagnosis y utillaje</x:v>
      </x:c>
      <x:c r="C24" s="38" t="n">
        <x:v>2000</x:v>
      </x:c>
      <x:c r="D24" s="38" t="n">
        <x:v>2000</x:v>
      </x:c>
      <x:c r="E24" s="38" t="n">
        <x:v>2000</x:v>
      </x:c>
      <x:c r="F24" s="38" t="n">
        <x:v>2000</x:v>
      </x:c>
      <x:c r="G24" s="38" t="n">
        <x:v>2000</x:v>
      </x:c>
      <x:c r="H24" s="38" t="n">
        <x:v>2000</x:v>
      </x:c>
      <x:c r="I24" s="38" t="n">
        <x:v>2000</x:v>
      </x:c>
      <x:c r="J24" s="38" t="n">
        <x:v>2000</x:v>
      </x:c>
      <x:c r="K24" s="38" t="n">
        <x:v>2000</x:v>
      </x:c>
      <x:c r="L24" s="38" t="n">
        <x:v>2000</x:v>
      </x:c>
      <x:c r="M24" s="38" t="n">
        <x:v>2000</x:v>
      </x:c>
      <x:c r="N24" s="38" t="n">
        <x:v>2000</x:v>
      </x:c>
      <x:c r="O24" s="34" t="n">
        <x:f>SUM(C24:N24)</x:f>
        <x:v>24000</x:v>
      </x:c>
    </x:row>
    <x:row r="25">
      <x:c r="A25" s="45" t="str"/>
      <x:c r="B25" s="46" t="str">
        <x:v>RESULTADO DE EXPLOTACIÓN</x:v>
      </x:c>
      <x:c r="C25" s="47" t="n">
        <x:f>C23-C24</x:f>
        <x:v>6650</x:v>
      </x:c>
      <x:c r="D25" s="47" t="n">
        <x:f>D23-D24</x:f>
        <x:v>7100</x:v>
      </x:c>
      <x:c r="E25" s="47" t="n">
        <x:f>E23-E24</x:f>
        <x:v>6850</x:v>
      </x:c>
      <x:c r="F25" s="47" t="n">
        <x:f>F23-F24</x:f>
        <x:v>12550</x:v>
      </x:c>
      <x:c r="G25" s="47" t="n">
        <x:f>G23-G24</x:f>
        <x:v>10900</x:v>
      </x:c>
      <x:c r="H25" s="47" t="n">
        <x:f>H23-H24</x:f>
        <x:v>10600</x:v>
      </x:c>
      <x:c r="I25" s="47" t="n">
        <x:f>I23-I24</x:f>
        <x:v>14900</x:v>
      </x:c>
      <x:c r="J25" s="47" t="n">
        <x:f>J23-J24</x:f>
        <x:v>5500</x:v>
      </x:c>
      <x:c r="K25" s="47" t="n">
        <x:f>K23-K24</x:f>
        <x:v>14450</x:v>
      </x:c>
      <x:c r="L25" s="47" t="n">
        <x:f>L23-L24</x:f>
        <x:v>21900</x:v>
      </x:c>
      <x:c r="M25" s="47" t="n">
        <x:f>M23-M24</x:f>
        <x:v>19300</x:v>
      </x:c>
      <x:c r="N25" s="47" t="n">
        <x:f>N23-N24</x:f>
        <x:v>34700</x:v>
      </x:c>
      <x:c r="O25" s="47" t="n">
        <x:f>SUM(C25:N25)</x:f>
        <x:v>165400</x:v>
      </x:c>
    </x:row>
    <x:row r="26">
      <x:c r="A26" s="29" t="str">
        <x:v>662</x:v>
      </x:c>
      <x:c r="B26" s="36" t="str">
        <x:v>Intereses de financiación</x:v>
      </x:c>
      <x:c r="C26" s="38" t="n">
        <x:v>400</x:v>
      </x:c>
      <x:c r="D26" s="38" t="n">
        <x:v>400</x:v>
      </x:c>
      <x:c r="E26" s="38" t="n">
        <x:v>400</x:v>
      </x:c>
      <x:c r="F26" s="38" t="n">
        <x:v>400</x:v>
      </x:c>
      <x:c r="G26" s="38" t="n">
        <x:v>400</x:v>
      </x:c>
      <x:c r="H26" s="38" t="n">
        <x:v>400</x:v>
      </x:c>
      <x:c r="I26" s="38" t="n">
        <x:v>400</x:v>
      </x:c>
      <x:c r="J26" s="38" t="n">
        <x:v>400</x:v>
      </x:c>
      <x:c r="K26" s="38" t="n">
        <x:v>400</x:v>
      </x:c>
      <x:c r="L26" s="38" t="n">
        <x:v>400</x:v>
      </x:c>
      <x:c r="M26" s="38" t="n">
        <x:v>400</x:v>
      </x:c>
      <x:c r="N26" s="38" t="n">
        <x:v>400</x:v>
      </x:c>
      <x:c r="O26" s="34" t="n">
        <x:f>SUM(C26:N26)</x:f>
        <x:v>4800</x:v>
      </x:c>
    </x:row>
    <x:row r="27">
      <x:c r="A27" s="45" t="str"/>
      <x:c r="B27" s="46" t="str">
        <x:v>RESULTADO ANTES DE IMPUESTOS</x:v>
      </x:c>
      <x:c r="C27" s="47" t="n">
        <x:f>C25-C26</x:f>
        <x:v>6250</x:v>
      </x:c>
      <x:c r="D27" s="47" t="n">
        <x:f>D25-D26</x:f>
        <x:v>6700</x:v>
      </x:c>
      <x:c r="E27" s="47" t="n">
        <x:f>E25-E26</x:f>
        <x:v>6450</x:v>
      </x:c>
      <x:c r="F27" s="47" t="n">
        <x:f>F25-F26</x:f>
        <x:v>12150</x:v>
      </x:c>
      <x:c r="G27" s="47" t="n">
        <x:f>G25-G26</x:f>
        <x:v>10500</x:v>
      </x:c>
      <x:c r="H27" s="47" t="n">
        <x:f>H25-H26</x:f>
        <x:v>10200</x:v>
      </x:c>
      <x:c r="I27" s="47" t="n">
        <x:f>I25-I26</x:f>
        <x:v>14500</x:v>
      </x:c>
      <x:c r="J27" s="47" t="n">
        <x:f>J25-J26</x:f>
        <x:v>5100</x:v>
      </x:c>
      <x:c r="K27" s="47" t="n">
        <x:f>K25-K26</x:f>
        <x:v>14050</x:v>
      </x:c>
      <x:c r="L27" s="47" t="n">
        <x:f>L25-L26</x:f>
        <x:v>21500</x:v>
      </x:c>
      <x:c r="M27" s="47" t="n">
        <x:f>M25-M26</x:f>
        <x:v>18900</x:v>
      </x:c>
      <x:c r="N27" s="47" t="n">
        <x:f>N25-N26</x:f>
        <x:v>34300</x:v>
      </x:c>
      <x:c r="O27" s="47" t="n">
        <x:f>SUM(C27:N27)</x:f>
        <x:v>160600</x:v>
      </x:c>
    </x:row>
    <x:row r="28">
      <x:c r="A28" s="29" t="str">
        <x:v>630</x:v>
      </x:c>
      <x:c r="B28" s="36" t="str">
        <x:v>Impuesto sobre beneficios estimado (25%)</x:v>
      </x:c>
      <x:c r="C28" s="40" t="n">
        <x:f>MAX(0,C27*25%)</x:f>
        <x:v>1562.5</x:v>
      </x:c>
      <x:c r="D28" s="40" t="n">
        <x:f>MAX(0,D27*25%)</x:f>
        <x:v>1675</x:v>
      </x:c>
      <x:c r="E28" s="40" t="n">
        <x:f>MAX(0,E27*25%)</x:f>
        <x:v>1612.5</x:v>
      </x:c>
      <x:c r="F28" s="40" t="n">
        <x:f>MAX(0,F27*25%)</x:f>
        <x:v>3037.5</x:v>
      </x:c>
      <x:c r="G28" s="40" t="n">
        <x:f>MAX(0,G27*25%)</x:f>
        <x:v>2625</x:v>
      </x:c>
      <x:c r="H28" s="40" t="n">
        <x:f>MAX(0,H27*25%)</x:f>
        <x:v>2550</x:v>
      </x:c>
      <x:c r="I28" s="40" t="n">
        <x:f>MAX(0,I27*25%)</x:f>
        <x:v>3625</x:v>
      </x:c>
      <x:c r="J28" s="40" t="n">
        <x:f>MAX(0,J27*25%)</x:f>
        <x:v>1275</x:v>
      </x:c>
      <x:c r="K28" s="40" t="n">
        <x:f>MAX(0,K27*25%)</x:f>
        <x:v>3512.5</x:v>
      </x:c>
      <x:c r="L28" s="40" t="n">
        <x:f>MAX(0,L27*25%)</x:f>
        <x:v>5375</x:v>
      </x:c>
      <x:c r="M28" s="40" t="n">
        <x:f>MAX(0,M27*25%)</x:f>
        <x:v>4725</x:v>
      </x:c>
      <x:c r="N28" s="40" t="n">
        <x:f>MAX(0,N27*25%)</x:f>
        <x:v>8575</x:v>
      </x:c>
      <x:c r="O28" s="40" t="n">
        <x:f>SUM(C28:N28)</x:f>
        <x:v>40150</x:v>
      </x:c>
    </x:row>
    <x:row r="29">
      <x:c r="A29" s="45" t="str"/>
      <x:c r="B29" s="46" t="str">
        <x:v>RESULTADO NETO DEL EJERCICIO</x:v>
      </x:c>
      <x:c r="C29" s="47" t="n">
        <x:f>C27-C28</x:f>
        <x:v>4687.5</x:v>
      </x:c>
      <x:c r="D29" s="47" t="n">
        <x:f>D27-D28</x:f>
        <x:v>5025</x:v>
      </x:c>
      <x:c r="E29" s="47" t="n">
        <x:f>E27-E28</x:f>
        <x:v>4837.5</x:v>
      </x:c>
      <x:c r="F29" s="47" t="n">
        <x:f>F27-F28</x:f>
        <x:v>9112.5</x:v>
      </x:c>
      <x:c r="G29" s="47" t="n">
        <x:f>G27-G28</x:f>
        <x:v>7875</x:v>
      </x:c>
      <x:c r="H29" s="47" t="n">
        <x:f>H27-H28</x:f>
        <x:v>7650</x:v>
      </x:c>
      <x:c r="I29" s="47" t="n">
        <x:f>I27-I28</x:f>
        <x:v>10875</x:v>
      </x:c>
      <x:c r="J29" s="47" t="n">
        <x:f>J27-J28</x:f>
        <x:v>3825</x:v>
      </x:c>
      <x:c r="K29" s="47" t="n">
        <x:f>K27-K28</x:f>
        <x:v>10537.5</x:v>
      </x:c>
      <x:c r="L29" s="47" t="n">
        <x:f>L27-L28</x:f>
        <x:v>16125</x:v>
      </x:c>
      <x:c r="M29" s="47" t="n">
        <x:f>M27-M28</x:f>
        <x:v>14175</x:v>
      </x:c>
      <x:c r="N29" s="47" t="n">
        <x:f>N27-N28</x:f>
        <x:v>25725</x:v>
      </x:c>
      <x:c r="O29" s="47" t="n">
        <x:f>SUM(C29:N29)</x:f>
        <x:v>120450</x:v>
      </x:c>
    </x:row>
    <x:row r="32" ht="32" customHeight="1">
      <x:c r="A32" s="82" t="str">
        <x:v>Nota: los subtotales y resultados no deben volver a sumarse junto a las cuentas de detalle. La variación de existencias afecta al margen operativo y la amortización queda fuera del EBITDA.</x:v>
      </x:c>
      <x:c r="B32" s="82"/>
      <x:c r="C32" s="82"/>
      <x:c r="D32" s="82"/>
      <x:c r="E32" s="82"/>
      <x:c r="F32" s="82"/>
      <x:c r="G32" s="82"/>
      <x:c r="H32" s="82"/>
      <x:c r="I32" s="82"/>
      <x:c r="J32" s="82"/>
      <x:c r="K32" s="82"/>
      <x:c r="L32" s="82"/>
      <x:c r="M32" s="82"/>
      <x:c r="N32" s="82"/>
      <x:c r="O32" s="82"/>
    </x:row>
  </x:sheetData>
  <x:mergeCells>
    <x:mergeCell ref="A1:O1"/>
    <x:mergeCell ref="A4:O4"/>
    <x:mergeCell ref="A32:O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6" hidden="0" customWidth="1"/>
  </x:cols>
  <x:sheetData>
    <x:row r="1" ht="36" customHeight="1">
      <x:c r="A1" s="5" t="str">
        <x:v>TALLER MOTORSUR — PREVISIÓN DE TESORERÍA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94" t="str">
        <x:v>Cobro del mes</x:v>
      </x:c>
      <x:c r="B2" s="98" t="n">
        <x:v>0.88</x:v>
      </x:c>
      <x:c r="C2" s="94" t="str">
        <x:v>Clientes pendientes iniciales</x:v>
      </x:c>
      <x:c r="D2" s="100" t="n">
        <x:v>12000</x:v>
      </x:c>
      <x:c r="E2" s="94" t="str">
        <x:v>Pago proveedor del mes</x:v>
      </x:c>
      <x:c r="F2" s="98" t="n">
        <x:v>0.7</x:v>
      </x:c>
      <x:c r="G2" s="94" t="str">
        <x:v>Proveedores pendientes iniciales</x:v>
      </x:c>
      <x:c r="H2" s="100" t="n">
        <x:v>9000</x:v>
      </x:c>
      <x:c r="I2" s="94" t="str">
        <x:v>Saldo inicial</x:v>
      </x:c>
      <x:c r="J2" s="100" t="n">
        <x:v>40000</x:v>
      </x:c>
      <x:c r="K2" s="94" t="str">
        <x:v>Préstamo inicial</x:v>
      </x:c>
      <x:c r="L2" s="100" t="n">
        <x:v>30000</x:v>
      </x:c>
      <x:c r="M2" s="94" t="str">
        <x:v>Cuota principal mensual</x:v>
      </x:c>
      <x:c r="N2" s="100" t="n">
        <x:v>1200</x:v>
      </x:c>
    </x:row>
    <x:row r="4" ht="25" customHeight="1">
      <x:c r="A4" s="13" t="str">
        <x:v>FLUJOS DE CAJA Y SALDOS BANCARIOS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 ht="30" customHeight="1">
      <x:c r="A5" s="22" t="str">
        <x:v>Cuenta</x:v>
      </x:c>
      <x:c r="B5" s="22" t="str">
        <x:v>Partida</x:v>
      </x:c>
      <x:c r="C5" s="22" t="str">
        <x:v>Enero</x:v>
      </x:c>
      <x:c r="D5" s="22" t="str">
        <x:v>Febrero</x:v>
      </x:c>
      <x:c r="E5" s="22" t="str">
        <x:v>Marzo</x:v>
      </x:c>
      <x:c r="F5" s="22" t="str">
        <x:v>Abril</x:v>
      </x:c>
      <x:c r="G5" s="22" t="str">
        <x:v>Mayo</x:v>
      </x:c>
      <x:c r="H5" s="22" t="str">
        <x:v>Junio</x:v>
      </x:c>
      <x:c r="I5" s="22" t="str">
        <x:v>Julio</x:v>
      </x:c>
      <x:c r="J5" s="22" t="str">
        <x:v>Agosto</x:v>
      </x:c>
      <x:c r="K5" s="22" t="str">
        <x:v>Septiembre</x:v>
      </x:c>
      <x:c r="L5" s="22" t="str">
        <x:v>Octubre</x:v>
      </x:c>
      <x:c r="M5" s="22" t="str">
        <x:v>Noviembre</x:v>
      </x:c>
      <x:c r="N5" s="22" t="str">
        <x:v>Diciembre</x:v>
      </x:c>
      <x:c r="O5" s="22" t="str">
        <x:v>Total 2026</x:v>
      </x:c>
    </x:row>
    <x:row r="6">
      <x:c r="A6" s="29" t="str"/>
      <x:c r="B6" s="36" t="str">
        <x:v>Saldo inicial del mes</x:v>
      </x:c>
      <x:c r="C6" s="104" t="n">
        <x:f>$J$2</x:f>
        <x:v>40000</x:v>
      </x:c>
      <x:c r="D6" s="104" t="n">
        <x:f>C16</x:f>
        <x:v>72820</x:v>
      </x:c>
      <x:c r="E6" s="104" t="n">
        <x:f>D16</x:f>
        <x:v>60386</x:v>
      </x:c>
      <x:c r="F6" s="104" t="n">
        <x:f>E16</x:f>
        <x:v>63420</x:v>
      </x:c>
      <x:c r="G6" s="104" t="n">
        <x:f>F16</x:f>
        <x:v>76022</x:v>
      </x:c>
      <x:c r="H6" s="104" t="n">
        <x:f>G16</x:f>
        <x:v>87616</x:v>
      </x:c>
      <x:c r="I6" s="104" t="n">
        <x:f>H16</x:f>
        <x:v>89810</x:v>
      </x:c>
      <x:c r="J6" s="104" t="n">
        <x:f>I16</x:f>
        <x:v>104972</x:v>
      </x:c>
      <x:c r="K6" s="104" t="n">
        <x:f>J16</x:f>
        <x:v>111628</x:v>
      </x:c>
      <x:c r="L6" s="104" t="n">
        <x:f>K16</x:f>
        <x:v>101926</x:v>
      </x:c>
      <x:c r="M6" s="104" t="n">
        <x:f>L16</x:f>
        <x:v>123440</x:v>
      </x:c>
      <x:c r="N6" s="104" t="n">
        <x:f>M16</x:f>
        <x:v>143506</x:v>
      </x:c>
      <x:c r="O6" s="104" t="n">
        <x:f>C6</x:f>
        <x:v>40000</x:v>
      </x:c>
    </x:row>
    <x:row r="7">
      <x:c r="A7" s="29" t="str"/>
      <x:c r="B7" s="36" t="str">
        <x:v>Cobros de clientes</x:v>
      </x:c>
      <x:c r="C7" s="102" t="n">
        <x:f>'Cuenta resultados'!C11*$B$2+$D$2*(1-$B$2)</x:f>
        <x:v>46320</x:v>
      </x:c>
      <x:c r="D7" s="102" t="n">
        <x:f>'Cuenta resultados'!D11*$B$2+'Cuenta resultados'!C11*(1-$B$2)</x:f>
        <x:v>52056</x:v>
      </x:c>
      <x:c r="E7" s="102" t="n">
        <x:f>'Cuenta resultados'!E11*$B$2+'Cuenta resultados'!D11*(1-$B$2)</x:f>
        <x:v>55544</x:v>
      </x:c>
      <x:c r="F7" s="102" t="n">
        <x:f>'Cuenta resultados'!F11*$B$2+'Cuenta resultados'!E11*(1-$B$2)</x:f>
        <x:v>58112</x:v>
      </x:c>
      <x:c r="G7" s="102" t="n">
        <x:f>'Cuenta resultados'!G11*$B$2+'Cuenta resultados'!F11*(1-$B$2)</x:f>
        <x:v>57784</x:v>
      </x:c>
      <x:c r="H7" s="102" t="n">
        <x:f>'Cuenta resultados'!H11*$B$2+'Cuenta resultados'!G11*(1-$B$2)</x:f>
        <x:v>61484</x:v>
      </x:c>
      <x:c r="I7" s="102" t="n">
        <x:f>'Cuenta resultados'!I11*$B$2+'Cuenta resultados'!H11*(1-$B$2)</x:f>
        <x:v>62352</x:v>
      </x:c>
      <x:c r="J7" s="102" t="n">
        <x:f>'Cuenta resultados'!J11*$B$2+'Cuenta resultados'!I11*(1-$B$2)</x:f>
        <x:v>51576</x:v>
      </x:c>
      <x:c r="K7" s="102" t="n">
        <x:f>'Cuenta resultados'!K11*$B$2+'Cuenta resultados'!J11*(1-$B$2)</x:f>
        <x:v>61628</x:v>
      </x:c>
      <x:c r="L7" s="102" t="n">
        <x:f>'Cuenta resultados'!L11*$B$2+'Cuenta resultados'!K11*(1-$B$2)</x:f>
        <x:v>70504</x:v>
      </x:c>
      <x:c r="M7" s="102" t="n">
        <x:f>'Cuenta resultados'!M11*$B$2+'Cuenta resultados'!L11*(1-$B$2)</x:f>
        <x:v>70356</x:v>
      </x:c>
      <x:c r="N7" s="102" t="n">
        <x:f>'Cuenta resultados'!N11*$B$2+'Cuenta resultados'!M11*(1-$B$2)</x:f>
        <x:v>85424</x:v>
      </x:c>
      <x:c r="O7" s="34" t="n">
        <x:f>SUM(C7:N7)</x:f>
        <x:v>733140</x:v>
      </x:c>
    </x:row>
    <x:row r="8">
      <x:c r="A8" s="29" t="str"/>
      <x:c r="B8" s="36" t="str">
        <x:v>Pagos a proveedores de recambios</x:v>
      </x:c>
      <x:c r="C8" s="102" t="n">
        <x:f>-('Cuenta resultados'!C14*$F$2+$H$2*(1-$F$2))</x:f>
        <x:v>-10050</x:v>
      </x:c>
      <x:c r="D8" s="102" t="n">
        <x:f>-('Cuenta resultados'!D14*$F$2+'Cuenta resultados'!C14*(1-$F$2))</x:f>
        <x:v>-10990</x:v>
      </x:c>
      <x:c r="E8" s="102" t="n">
        <x:f>-('Cuenta resultados'!E14*$F$2+'Cuenta resultados'!D14*(1-$F$2))</x:f>
        <x:v>-11760</x:v>
      </x:c>
      <x:c r="F8" s="102" t="n">
        <x:f>-('Cuenta resultados'!F14*$F$2+'Cuenta resultados'!E14*(1-$F$2))</x:f>
        <x:v>-11860</x:v>
      </x:c>
      <x:c r="G8" s="102" t="n">
        <x:f>-('Cuenta resultados'!G14*$F$2+'Cuenta resultados'!F14*(1-$F$2))</x:f>
        <x:v>-12290</x:v>
      </x:c>
      <x:c r="H8" s="102" t="n">
        <x:f>-('Cuenta resultados'!H14*$F$2+'Cuenta resultados'!G14*(1-$F$2))</x:f>
        <x:v>-12990</x:v>
      </x:c>
      <x:c r="I8" s="102" t="n">
        <x:f>-('Cuenta resultados'!I14*$F$2+'Cuenta resultados'!H14*(1-$F$2))</x:f>
        <x:v>-12990</x:v>
      </x:c>
      <x:c r="J8" s="102" t="n">
        <x:f>-('Cuenta resultados'!J14*$F$2+'Cuenta resultados'!I14*(1-$F$2))</x:f>
        <x:v>-11220</x:v>
      </x:c>
      <x:c r="K8" s="102" t="n">
        <x:f>-('Cuenta resultados'!K14*$F$2+'Cuenta resultados'!J14*(1-$F$2))</x:f>
        <x:v>-12880</x:v>
      </x:c>
      <x:c r="L8" s="102" t="n">
        <x:f>-('Cuenta resultados'!L14*$F$2+'Cuenta resultados'!K14*(1-$F$2))</x:f>
        <x:v>-14390</x:v>
      </x:c>
      <x:c r="M8" s="102" t="n">
        <x:f>-('Cuenta resultados'!M14*$F$2+'Cuenta resultados'!L14*(1-$F$2))</x:f>
        <x:v>-15090</x:v>
      </x:c>
      <x:c r="N8" s="102" t="n">
        <x:f>-('Cuenta resultados'!N14*$F$2+'Cuenta resultados'!M14*(1-$F$2))</x:f>
        <x:v>-17050</x:v>
      </x:c>
      <x:c r="O8" s="34" t="n">
        <x:f>SUM(C8:N8)</x:f>
        <x:v>-153560</x:v>
      </x:c>
    </x:row>
    <x:row r="9">
      <x:c r="A9" s="29" t="str"/>
      <x:c r="B9" s="36" t="str">
        <x:v>Pagos operativos y de personal</x:v>
      </x:c>
      <x:c r="C9" s="102" t="n">
        <x:f>-SUM('Cuenta resultados'!C15:C21)</x:f>
        <x:v>-31850</x:v>
      </x:c>
      <x:c r="D9" s="102" t="n">
        <x:f>-SUM('Cuenta resultados'!D15:D21)</x:f>
        <x:v>-31900</x:v>
      </x:c>
      <x:c r="E9" s="102" t="n">
        <x:f>-SUM('Cuenta resultados'!E15:E21)</x:f>
        <x:v>-32150</x:v>
      </x:c>
      <x:c r="F9" s="102" t="n">
        <x:f>-SUM('Cuenta resultados'!F15:F21)</x:f>
        <x:v>-32050</x:v>
      </x:c>
      <x:c r="G9" s="102" t="n">
        <x:f>-SUM('Cuenta resultados'!G15:G21)</x:f>
        <x:v>-32300</x:v>
      </x:c>
      <x:c r="H9" s="102" t="n">
        <x:f>-SUM('Cuenta resultados'!H15:H21)</x:f>
        <x:v>-36200</x:v>
      </x:c>
      <x:c r="I9" s="102" t="n">
        <x:f>-SUM('Cuenta resultados'!I15:I21)</x:f>
        <x:v>-32600</x:v>
      </x:c>
      <x:c r="J9" s="102" t="n">
        <x:f>-SUM('Cuenta resultados'!J15:J21)</x:f>
        <x:v>-32100</x:v>
      </x:c>
      <x:c r="K9" s="102" t="n">
        <x:f>-SUM('Cuenta resultados'!K15:K21)</x:f>
        <x:v>-32850</x:v>
      </x:c>
      <x:c r="L9" s="102" t="n">
        <x:f>-SUM('Cuenta resultados'!L15:L21)</x:f>
        <x:v>-33000</x:v>
      </x:c>
      <x:c r="M9" s="102" t="n">
        <x:f>-SUM('Cuenta resultados'!M15:M21)</x:f>
        <x:v>-33600</x:v>
      </x:c>
      <x:c r="N9" s="102" t="n">
        <x:f>-SUM('Cuenta resultados'!N15:N21)</x:f>
        <x:v>-38000</x:v>
      </x:c>
      <x:c r="O9" s="34" t="n">
        <x:f>SUM(C9:N9)</x:f>
        <x:v>-398600</x:v>
      </x:c>
    </x:row>
    <x:row r="10">
      <x:c r="A10" s="29" t="str"/>
      <x:c r="B10" s="36" t="str">
        <x:v>IVA e impuestos</x:v>
      </x:c>
      <x:c r="C10" s="38" t="n">
        <x:v>0</x:v>
      </x:c>
      <x:c r="D10" s="38" t="n">
        <x:v>0</x:v>
      </x:c>
      <x:c r="E10" s="38" t="n">
        <x:v>-7000</x:v>
      </x:c>
      <x:c r="F10" s="38" t="n">
        <x:v>0</x:v>
      </x:c>
      <x:c r="G10" s="38" t="n">
        <x:v>0</x:v>
      </x:c>
      <x:c r="H10" s="38" t="n">
        <x:v>-8500</x:v>
      </x:c>
      <x:c r="I10" s="38" t="n">
        <x:v>0</x:v>
      </x:c>
      <x:c r="J10" s="38" t="n">
        <x:v>0</x:v>
      </x:c>
      <x:c r="K10" s="38" t="n">
        <x:v>-9000</x:v>
      </x:c>
      <x:c r="L10" s="38" t="n">
        <x:v>0</x:v>
      </x:c>
      <x:c r="M10" s="38" t="n">
        <x:v>0</x:v>
      </x:c>
      <x:c r="N10" s="38" t="n">
        <x:v>-12000</x:v>
      </x:c>
      <x:c r="O10" s="34" t="n">
        <x:f>SUM(C10:N10)</x:f>
        <x:v>-36500</x:v>
      </x:c>
    </x:row>
    <x:row r="11">
      <x:c r="A11" s="29" t="str"/>
      <x:c r="B11" s="36" t="str">
        <x:v>Inversión en elevador y equipo de diagnosis</x:v>
      </x:c>
      <x:c r="C11" s="38" t="n">
        <x:v>0</x:v>
      </x:c>
      <x:c r="D11" s="38" t="n">
        <x:v>-20000</x:v>
      </x:c>
      <x:c r="E11" s="38" t="n">
        <x:v>0</x:v>
      </x:c>
      <x:c r="F11" s="38" t="n">
        <x:v>0</x:v>
      </x:c>
      <x:c r="G11" s="38" t="n">
        <x:v>0</x:v>
      </x:c>
      <x:c r="H11" s="38" t="n">
        <x:v>0</x:v>
      </x:c>
      <x:c r="I11" s="38" t="n">
        <x:v>0</x:v>
      </x:c>
      <x:c r="J11" s="38" t="n">
        <x:v>0</x:v>
      </x:c>
      <x:c r="K11" s="38" t="n">
        <x:v>-15000</x:v>
      </x:c>
      <x:c r="L11" s="38" t="n">
        <x:v>0</x:v>
      </x:c>
      <x:c r="M11" s="38" t="n">
        <x:v>0</x:v>
      </x:c>
      <x:c r="N11" s="38" t="n">
        <x:v>0</x:v>
      </x:c>
      <x:c r="O11" s="34" t="n">
        <x:f>SUM(C11:N11)</x:f>
        <x:v>-35000</x:v>
      </x:c>
    </x:row>
    <x:row r="12">
      <x:c r="A12" s="29" t="str"/>
      <x:c r="B12" s="36" t="str">
        <x:v>Préstamo bancario recibido</x:v>
      </x:c>
      <x:c r="C12" s="38" t="n">
        <x:v>30000</x:v>
      </x:c>
      <x:c r="D12" s="38" t="n">
        <x:v>0</x:v>
      </x:c>
      <x:c r="E12" s="38" t="n">
        <x:v>0</x:v>
      </x:c>
      <x:c r="F12" s="38" t="n">
        <x:v>0</x:v>
      </x:c>
      <x:c r="G12" s="38" t="n">
        <x:v>0</x:v>
      </x:c>
      <x:c r="H12" s="38" t="n">
        <x:v>0</x:v>
      </x:c>
      <x:c r="I12" s="38" t="n">
        <x:v>0</x:v>
      </x:c>
      <x:c r="J12" s="38" t="n">
        <x:v>0</x:v>
      </x:c>
      <x:c r="K12" s="38" t="n">
        <x:v>0</x:v>
      </x:c>
      <x:c r="L12" s="38" t="n">
        <x:v>0</x:v>
      </x:c>
      <x:c r="M12" s="38" t="n">
        <x:v>0</x:v>
      </x:c>
      <x:c r="N12" s="38" t="n">
        <x:v>0</x:v>
      </x:c>
      <x:c r="O12" s="34" t="n">
        <x:f>SUM(C12:N12)</x:f>
        <x:v>30000</x:v>
      </x:c>
    </x:row>
    <x:row r="13">
      <x:c r="A13" s="29" t="str"/>
      <x:c r="B13" s="36" t="str">
        <x:v>Devolución de principal</x:v>
      </x:c>
      <x:c r="C13" s="38" t="n">
        <x:v>-1200</x:v>
      </x:c>
      <x:c r="D13" s="38" t="n">
        <x:v>-1200</x:v>
      </x:c>
      <x:c r="E13" s="38" t="n">
        <x:v>-1200</x:v>
      </x:c>
      <x:c r="F13" s="38" t="n">
        <x:v>-1200</x:v>
      </x:c>
      <x:c r="G13" s="38" t="n">
        <x:v>-1200</x:v>
      </x:c>
      <x:c r="H13" s="38" t="n">
        <x:v>-1200</x:v>
      </x:c>
      <x:c r="I13" s="38" t="n">
        <x:v>-1200</x:v>
      </x:c>
      <x:c r="J13" s="38" t="n">
        <x:v>-1200</x:v>
      </x:c>
      <x:c r="K13" s="38" t="n">
        <x:v>-1200</x:v>
      </x:c>
      <x:c r="L13" s="38" t="n">
        <x:v>-1200</x:v>
      </x:c>
      <x:c r="M13" s="38" t="n">
        <x:v>-1200</x:v>
      </x:c>
      <x:c r="N13" s="38" t="n">
        <x:v>-1200</x:v>
      </x:c>
      <x:c r="O13" s="34" t="n">
        <x:f>SUM(C13:N13)</x:f>
        <x:v>-14400</x:v>
      </x:c>
    </x:row>
    <x:row r="14">
      <x:c r="A14" s="29" t="str"/>
      <x:c r="B14" s="36" t="str">
        <x:v>Intereses pagados</x:v>
      </x:c>
      <x:c r="C14" s="102" t="n">
        <x:f>-'Cuenta resultados'!C26</x:f>
        <x:v>-400</x:v>
      </x:c>
      <x:c r="D14" s="102" t="n">
        <x:f>-'Cuenta resultados'!D26</x:f>
        <x:v>-400</x:v>
      </x:c>
      <x:c r="E14" s="102" t="n">
        <x:f>-'Cuenta resultados'!E26</x:f>
        <x:v>-400</x:v>
      </x:c>
      <x:c r="F14" s="102" t="n">
        <x:f>-'Cuenta resultados'!F26</x:f>
        <x:v>-400</x:v>
      </x:c>
      <x:c r="G14" s="102" t="n">
        <x:f>-'Cuenta resultados'!G26</x:f>
        <x:v>-400</x:v>
      </x:c>
      <x:c r="H14" s="102" t="n">
        <x:f>-'Cuenta resultados'!H26</x:f>
        <x:v>-400</x:v>
      </x:c>
      <x:c r="I14" s="102" t="n">
        <x:f>-'Cuenta resultados'!I26</x:f>
        <x:v>-400</x:v>
      </x:c>
      <x:c r="J14" s="102" t="n">
        <x:f>-'Cuenta resultados'!J26</x:f>
        <x:v>-400</x:v>
      </x:c>
      <x:c r="K14" s="102" t="n">
        <x:f>-'Cuenta resultados'!K26</x:f>
        <x:v>-400</x:v>
      </x:c>
      <x:c r="L14" s="102" t="n">
        <x:f>-'Cuenta resultados'!L26</x:f>
        <x:v>-400</x:v>
      </x:c>
      <x:c r="M14" s="102" t="n">
        <x:f>-'Cuenta resultados'!M26</x:f>
        <x:v>-400</x:v>
      </x:c>
      <x:c r="N14" s="102" t="n">
        <x:f>-'Cuenta resultados'!N26</x:f>
        <x:v>-400</x:v>
      </x:c>
      <x:c r="O14" s="34" t="n">
        <x:f>SUM(C14:N14)</x:f>
        <x:v>-4800</x:v>
      </x:c>
    </x:row>
    <x:row r="15">
      <x:c r="A15" s="45" t="str"/>
      <x:c r="B15" s="46" t="str">
        <x:v>VARIACIÓN NETA DE TESORERÍA</x:v>
      </x:c>
      <x:c r="C15" s="47" t="n">
        <x:f>SUM(C7:C14)</x:f>
        <x:v>32820</x:v>
      </x:c>
      <x:c r="D15" s="47" t="n">
        <x:f>SUM(D7:D14)</x:f>
        <x:v>-12434</x:v>
      </x:c>
      <x:c r="E15" s="47" t="n">
        <x:f>SUM(E7:E14)</x:f>
        <x:v>3034</x:v>
      </x:c>
      <x:c r="F15" s="47" t="n">
        <x:f>SUM(F7:F14)</x:f>
        <x:v>12602</x:v>
      </x:c>
      <x:c r="G15" s="47" t="n">
        <x:f>SUM(G7:G14)</x:f>
        <x:v>11594</x:v>
      </x:c>
      <x:c r="H15" s="47" t="n">
        <x:f>SUM(H7:H14)</x:f>
        <x:v>2194</x:v>
      </x:c>
      <x:c r="I15" s="47" t="n">
        <x:f>SUM(I7:I14)</x:f>
        <x:v>15162</x:v>
      </x:c>
      <x:c r="J15" s="47" t="n">
        <x:f>SUM(J7:J14)</x:f>
        <x:v>6656</x:v>
      </x:c>
      <x:c r="K15" s="47" t="n">
        <x:f>SUM(K7:K14)</x:f>
        <x:v>-9702</x:v>
      </x:c>
      <x:c r="L15" s="47" t="n">
        <x:f>SUM(L7:L14)</x:f>
        <x:v>21514</x:v>
      </x:c>
      <x:c r="M15" s="47" t="n">
        <x:f>SUM(M7:M14)</x:f>
        <x:v>20066</x:v>
      </x:c>
      <x:c r="N15" s="47" t="n">
        <x:f>SUM(N7:N14)</x:f>
        <x:v>16774</x:v>
      </x:c>
      <x:c r="O15" s="47" t="n">
        <x:f>SUM(C15:N15)</x:f>
        <x:v>120280</x:v>
      </x:c>
    </x:row>
    <x:row r="16">
      <x:c r="A16" s="45" t="str"/>
      <x:c r="B16" s="46" t="str">
        <x:v>SALDO BANCARIO AL CIERRE</x:v>
      </x:c>
      <x:c r="C16" s="47" t="n">
        <x:f>C6+C15</x:f>
        <x:v>72820</x:v>
      </x:c>
      <x:c r="D16" s="47" t="n">
        <x:f>D6+D15</x:f>
        <x:v>60386</x:v>
      </x:c>
      <x:c r="E16" s="47" t="n">
        <x:f>E6+E15</x:f>
        <x:v>63420</x:v>
      </x:c>
      <x:c r="F16" s="47" t="n">
        <x:f>F6+F15</x:f>
        <x:v>76022</x:v>
      </x:c>
      <x:c r="G16" s="47" t="n">
        <x:f>G6+G15</x:f>
        <x:v>87616</x:v>
      </x:c>
      <x:c r="H16" s="47" t="n">
        <x:f>H6+H15</x:f>
        <x:v>89810</x:v>
      </x:c>
      <x:c r="I16" s="47" t="n">
        <x:f>I6+I15</x:f>
        <x:v>104972</x:v>
      </x:c>
      <x:c r="J16" s="47" t="n">
        <x:f>J6+J15</x:f>
        <x:v>111628</x:v>
      </x:c>
      <x:c r="K16" s="47" t="n">
        <x:f>K6+K15</x:f>
        <x:v>101926</x:v>
      </x:c>
      <x:c r="L16" s="47" t="n">
        <x:f>L6+L15</x:f>
        <x:v>123440</x:v>
      </x:c>
      <x:c r="M16" s="47" t="n">
        <x:f>M6+M15</x:f>
        <x:v>143506</x:v>
      </x:c>
      <x:c r="N16" s="47" t="n">
        <x:f>N6+N15</x:f>
        <x:v>160280</x:v>
      </x:c>
      <x:c r="O16" s="47" t="n">
        <x:f>N16</x:f>
        <x:v>160280</x:v>
      </x:c>
    </x:row>
    <x:row r="19" ht="28" customHeight="1">
      <x:c r="A19" s="82" t="str">
        <x:v>Control: el saldo inicial de cada mes enlaza con el cierre anterior; el total anual del saldo final corresponde a diciembre.</x:v>
      </x:c>
      <x:c r="B19" s="82"/>
      <x:c r="C19" s="82"/>
      <x:c r="D19" s="82"/>
      <x:c r="E19" s="82"/>
      <x:c r="F19" s="82"/>
      <x:c r="G19" s="82"/>
      <x:c r="H19" s="82"/>
      <x:c r="I19" s="82"/>
      <x:c r="J19" s="82"/>
      <x:c r="K19" s="82"/>
      <x:c r="L19" s="82"/>
      <x:c r="M19" s="82"/>
      <x:c r="N19" s="82"/>
      <x:c r="O19" s="82"/>
    </x:row>
  </x:sheetData>
  <x:mergeCells>
    <x:mergeCell ref="A1:O1"/>
    <x:mergeCell ref="A4:O4"/>
    <x:mergeCell ref="A19:O19"/>
  </x:mergeCells>
  <x:pageMargins left="0.7" right="0.7" top="0.75" bottom="0.75" header="0.3" footer="0.3"/>
</x:worksheet>
</file>