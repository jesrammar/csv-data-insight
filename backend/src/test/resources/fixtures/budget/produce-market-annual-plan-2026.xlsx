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66630780d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anual 2026" sheetId="1" r:id="Reaeb9bbf55fb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[$€-es-ES];[Red](#,##0.00 [$€-es-ES]);-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55555"/>
      <x:name val="Carlito"/>
    </x:font>
    <x:font>
      <x:sz val="11"/>
      <x:color rgb="FF222222"/>
      <x:name val="Carlito"/>
    </x:font>
    <x:font>
      <x:b/>
      <x:sz val="11"/>
      <x:color rgb="FF17365D"/>
      <x:name val="Carlito"/>
    </x:font>
    <x:font>
      <x:b/>
      <x:sz val="11"/>
      <x:color rgb="FF222222"/>
      <x:name val="Carlito"/>
    </x:font>
    <x:font>
      <x:sz val="10"/>
      <x:color rgb="FF222222"/>
      <x:name val="Carlito"/>
    </x:font>
    <x:font>
      <x:sz val="10"/>
      <x:color rgb="FF0000FF"/>
      <x:name val="Carlito"/>
    </x:font>
    <x:font>
      <x:sz val="10"/>
      <x:color rgb="FF000000"/>
      <x:name val="Carlito"/>
    </x:font>
    <x:font>
      <x:b/>
      <x:sz val="10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8F8F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9" fillId="7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5" fillId="6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 applyAlignment="1">
      <x:alignment horizontal="left" vertical="center"/>
    </x:xf>
    <x:xf numFmtId="200" fontId="8" fillId="0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9" fillId="7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5" fillId="6" borderId="0" xfId="0" applyNumberFormat="1" applyFont="1" applyFill="1" applyBorder="1" applyAlignment="1">
      <x:alignment horizontal="righ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0" fontId="7" fillId="0" borderId="1" xfId="0" applyNumberFormat="1" applyFont="1" applyFill="1" applyBorder="1" applyAlignment="1">
      <x:alignment horizontal="right" vertical="center"/>
    </x:xf>
    <x:xf numFmtId="200" fontId="6" fillId="0" borderId="1" xfId="0" applyNumberFormat="1" applyFont="1" applyFill="1" applyBorder="1" applyAlignment="1">
      <x:alignment horizontal="right" vertical="center"/>
    </x:xf>
    <x:xf numFmtId="200" fontId="9" fillId="7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5" fillId="6" borderId="1" xfId="0" applyNumberFormat="1" applyFont="1" applyFill="1" applyBorder="1" applyAlignment="1">
      <x:alignment horizontal="right" vertical="center"/>
    </x:xf>
    <x:xf numFmtId="200" fontId="8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dcffb3824449b" /><Relationship Type="http://schemas.openxmlformats.org/officeDocument/2006/relationships/theme" Target="/xl/theme/theme1.xml" Id="R1e9ad0830cd546a8" /><Relationship Type="http://schemas.openxmlformats.org/officeDocument/2006/relationships/sharedStrings" Target="/xl/sharedStrings.xml" Id="R29b51526f2924b8e" /><Relationship Type="http://schemas.openxmlformats.org/officeDocument/2006/relationships/worksheet" Target="/xl/worksheets/sheet1.xml" Id="Reaeb9bbf55fb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6" hidden="0" customWidth="1"/>
  </x:cols>
  <x:sheetData>
    <x:row r="1" ht="34" customHeight="1">
      <x:c r="A1" s="5" t="str">
        <x:v>FRUTERÍA EL MERCADO — PLAN ANUAL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2" customHeight="1">
      <x:c r="A2" s="11" t="str">
        <x:v>Presupuesto anual ficticio · importes en euros · formato mensual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8" t="str">
        <x:v>Empresa</x:v>
      </x:c>
      <x:c r="B3" s="15" t="str">
        <x:v>Frutería El Mercado S.L.</x:v>
      </x:c>
      <x:c r="C3" s="18" t="str">
        <x:v>Actividad</x:v>
      </x:c>
      <x:c r="D3" s="15" t="str">
        <x:v>Venta minorista de fruta y verdura</x:v>
      </x:c>
      <x:c r="E3" s="18" t="str">
        <x:v>Escenario</x:v>
      </x:c>
      <x:c r="F3" s="15" t="str">
        <x:v>Base</x:v>
      </x:c>
      <x:c r="G3" s="18" t="str">
        <x:v>Moneda</x:v>
      </x:c>
      <x:c r="H3" s="15" t="str">
        <x:v>EUR</x:v>
      </x:c>
    </x:row>
    <x:row r="5" ht="30" customHeight="1">
      <x:c r="A5" s="24" t="str">
        <x:v>Código</x:v>
      </x:c>
      <x:c r="B5" s="24" t="str">
        <x:v>Concepto</x:v>
      </x:c>
      <x:c r="C5" s="24" t="str">
        <x:v>Enero</x:v>
      </x:c>
      <x:c r="D5" s="24" t="str">
        <x:v>Febrero</x:v>
      </x:c>
      <x:c r="E5" s="24" t="str">
        <x:v>Marzo</x:v>
      </x:c>
      <x:c r="F5" s="24" t="str">
        <x:v>Abril</x:v>
      </x:c>
      <x:c r="G5" s="24" t="str">
        <x:v>Mayo</x:v>
      </x:c>
      <x:c r="H5" s="24" t="str">
        <x:v>Junio</x:v>
      </x:c>
      <x:c r="I5" s="24" t="str">
        <x:v>Julio</x:v>
      </x:c>
      <x:c r="J5" s="24" t="str">
        <x:v>Agosto</x:v>
      </x:c>
      <x:c r="K5" s="24" t="str">
        <x:v>Septiembre</x:v>
      </x:c>
      <x:c r="L5" s="24" t="str">
        <x:v>Octubre</x:v>
      </x:c>
      <x:c r="M5" s="24" t="str">
        <x:v>Noviembre</x:v>
      </x:c>
      <x:c r="N5" s="24" t="str">
        <x:v>Diciembre</x:v>
      </x:c>
      <x:c r="O5" s="24" t="str">
        <x:v>Total anual</x:v>
      </x:c>
    </x:row>
    <x:row r="6" ht="24" customHeight="1">
      <x:c r="A6" s="33" t="str">
        <x:v>INGRESOS</x:v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</x:row>
    <x:row r="7">
      <x:c r="A7" s="76" t="str">
        <x:v>700.01</x:v>
      </x:c>
      <x:c r="B7" s="76" t="str">
        <x:v>Ventas de fruta fresca</x:v>
      </x:c>
      <x:c r="C7" s="64" t="n">
        <x:v>28000</x:v>
      </x:c>
      <x:c r="D7" s="64" t="n">
        <x:v>27000</x:v>
      </x:c>
      <x:c r="E7" s="64" t="n">
        <x:v>29000</x:v>
      </x:c>
      <x:c r="F7" s="64" t="n">
        <x:v>30000</x:v>
      </x:c>
      <x:c r="G7" s="64" t="n">
        <x:v>31500</x:v>
      </x:c>
      <x:c r="H7" s="64" t="n">
        <x:v>33000</x:v>
      </x:c>
      <x:c r="I7" s="64" t="n">
        <x:v>35000</x:v>
      </x:c>
      <x:c r="J7" s="64" t="n">
        <x:v>32000</x:v>
      </x:c>
      <x:c r="K7" s="64" t="n">
        <x:v>34000</x:v>
      </x:c>
      <x:c r="L7" s="64" t="n">
        <x:v>36000</x:v>
      </x:c>
      <x:c r="M7" s="64" t="n">
        <x:v>38000</x:v>
      </x:c>
      <x:c r="N7" s="64" t="n">
        <x:v>45000</x:v>
      </x:c>
      <x:c r="O7" s="65" t="n">
        <x:f>SUM(C7:N7)</x:f>
        <x:v>398500</x:v>
      </x:c>
    </x:row>
    <x:row r="8">
      <x:c r="A8" s="76" t="str">
        <x:v>700.02</x:v>
      </x:c>
      <x:c r="B8" s="76" t="str">
        <x:v>Ventas de verduras y hortalizas</x:v>
      </x:c>
      <x:c r="C8" s="64" t="n">
        <x:v>15000</x:v>
      </x:c>
      <x:c r="D8" s="64" t="n">
        <x:v>14500</x:v>
      </x:c>
      <x:c r="E8" s="64" t="n">
        <x:v>15500</x:v>
      </x:c>
      <x:c r="F8" s="64" t="n">
        <x:v>16000</x:v>
      </x:c>
      <x:c r="G8" s="64" t="n">
        <x:v>16500</x:v>
      </x:c>
      <x:c r="H8" s="64" t="n">
        <x:v>17500</x:v>
      </x:c>
      <x:c r="I8" s="64" t="n">
        <x:v>18500</x:v>
      </x:c>
      <x:c r="J8" s="64" t="n">
        <x:v>17000</x:v>
      </x:c>
      <x:c r="K8" s="64" t="n">
        <x:v>18000</x:v>
      </x:c>
      <x:c r="L8" s="64" t="n">
        <x:v>19000</x:v>
      </x:c>
      <x:c r="M8" s="64" t="n">
        <x:v>20000</x:v>
      </x:c>
      <x:c r="N8" s="64" t="n">
        <x:v>24000</x:v>
      </x:c>
      <x:c r="O8" s="65" t="n">
        <x:f>SUM(C8:N8)</x:f>
        <x:v>211500</x:v>
      </x:c>
    </x:row>
    <x:row r="9">
      <x:c r="A9" s="76" t="str">
        <x:v>700.03</x:v>
      </x:c>
      <x:c r="B9" s="76" t="str">
        <x:v>Productos ecológicos y gourmet</x:v>
      </x:c>
      <x:c r="C9" s="64" t="n">
        <x:v>4000</x:v>
      </x:c>
      <x:c r="D9" s="64" t="n">
        <x:v>4200</x:v>
      </x:c>
      <x:c r="E9" s="64" t="n">
        <x:v>4500</x:v>
      </x:c>
      <x:c r="F9" s="64" t="n">
        <x:v>4800</x:v>
      </x:c>
      <x:c r="G9" s="64" t="n">
        <x:v>5000</x:v>
      </x:c>
      <x:c r="H9" s="64" t="n">
        <x:v>5500</x:v>
      </x:c>
      <x:c r="I9" s="64" t="n">
        <x:v>6000</x:v>
      </x:c>
      <x:c r="J9" s="64" t="n">
        <x:v>5200</x:v>
      </x:c>
      <x:c r="K9" s="64" t="n">
        <x:v>5800</x:v>
      </x:c>
      <x:c r="L9" s="64" t="n">
        <x:v>6200</x:v>
      </x:c>
      <x:c r="M9" s="64" t="n">
        <x:v>6500</x:v>
      </x:c>
      <x:c r="N9" s="64" t="n">
        <x:v>8000</x:v>
      </x:c>
      <x:c r="O9" s="65" t="n">
        <x:f>SUM(C9:N9)</x:f>
        <x:v>65700</x:v>
      </x:c>
    </x:row>
    <x:row r="10">
      <x:c r="A10" s="76" t="str">
        <x:v>700.04</x:v>
      </x:c>
      <x:c r="B10" s="76" t="str">
        <x:v>Zumos naturales y batidos</x:v>
      </x:c>
      <x:c r="C10" s="64" t="n">
        <x:v>2500</x:v>
      </x:c>
      <x:c r="D10" s="64" t="n">
        <x:v>2300</x:v>
      </x:c>
      <x:c r="E10" s="64" t="n">
        <x:v>2600</x:v>
      </x:c>
      <x:c r="F10" s="64" t="n">
        <x:v>2800</x:v>
      </x:c>
      <x:c r="G10" s="64" t="n">
        <x:v>3000</x:v>
      </x:c>
      <x:c r="H10" s="64" t="n">
        <x:v>3500</x:v>
      </x:c>
      <x:c r="I10" s="64" t="n">
        <x:v>4200</x:v>
      </x:c>
      <x:c r="J10" s="64" t="n">
        <x:v>3800</x:v>
      </x:c>
      <x:c r="K10" s="64" t="n">
        <x:v>3600</x:v>
      </x:c>
      <x:c r="L10" s="64" t="n">
        <x:v>3900</x:v>
      </x:c>
      <x:c r="M10" s="64" t="n">
        <x:v>4200</x:v>
      </x:c>
      <x:c r="N10" s="64" t="n">
        <x:v>5200</x:v>
      </x:c>
      <x:c r="O10" s="65" t="n">
        <x:f>SUM(C10:N10)</x:f>
        <x:v>41600</x:v>
      </x:c>
    </x:row>
    <x:row r="11">
      <x:c r="A11" s="76" t="str">
        <x:v>705</x:v>
      </x:c>
      <x:c r="B11" s="76" t="str">
        <x:v>Encargos y reparto a domicilio</x:v>
      </x:c>
      <x:c r="C11" s="64" t="n">
        <x:v>3500</x:v>
      </x:c>
      <x:c r="D11" s="64" t="n">
        <x:v>3400</x:v>
      </x:c>
      <x:c r="E11" s="64" t="n">
        <x:v>3600</x:v>
      </x:c>
      <x:c r="F11" s="64" t="n">
        <x:v>3800</x:v>
      </x:c>
      <x:c r="G11" s="64" t="n">
        <x:v>4000</x:v>
      </x:c>
      <x:c r="H11" s="64" t="n">
        <x:v>4300</x:v>
      </x:c>
      <x:c r="I11" s="64" t="n">
        <x:v>4700</x:v>
      </x:c>
      <x:c r="J11" s="64" t="n">
        <x:v>4200</x:v>
      </x:c>
      <x:c r="K11" s="64" t="n">
        <x:v>4500</x:v>
      </x:c>
      <x:c r="L11" s="64" t="n">
        <x:v>4800</x:v>
      </x:c>
      <x:c r="M11" s="64" t="n">
        <x:v>5200</x:v>
      </x:c>
      <x:c r="N11" s="64" t="n">
        <x:v>6500</x:v>
      </x:c>
      <x:c r="O11" s="65" t="n">
        <x:f>SUM(C11:N11)</x:f>
        <x:v>52500</x:v>
      </x:c>
    </x:row>
    <x:row r="12">
      <x:c r="A12" s="76" t="str">
        <x:v>759</x:v>
      </x:c>
      <x:c r="B12" s="76" t="str">
        <x:v>Otros ingresos</x:v>
      </x:c>
      <x:c r="C12" s="64" t="n">
        <x:v>200</x:v>
      </x:c>
      <x:c r="D12" s="64" t="n">
        <x:v>200</x:v>
      </x:c>
      <x:c r="E12" s="64" t="n">
        <x:v>200</x:v>
      </x:c>
      <x:c r="F12" s="64" t="n">
        <x:v>1800</x:v>
      </x:c>
      <x:c r="G12" s="64" t="n">
        <x:v>200</x:v>
      </x:c>
      <x:c r="H12" s="64" t="n">
        <x:v>200</x:v>
      </x:c>
      <x:c r="I12" s="64" t="n">
        <x:v>200</x:v>
      </x:c>
      <x:c r="J12" s="64" t="n">
        <x:v>200</x:v>
      </x:c>
      <x:c r="K12" s="64" t="n">
        <x:v>200</x:v>
      </x:c>
      <x:c r="L12" s="64" t="n">
        <x:v>200</x:v>
      </x:c>
      <x:c r="M12" s="64" t="n">
        <x:v>200</x:v>
      </x:c>
      <x:c r="N12" s="64" t="n">
        <x:v>200</x:v>
      </x:c>
      <x:c r="O12" s="65" t="n">
        <x:f>SUM(C12:N12)</x:f>
        <x:v>4000</x:v>
      </x:c>
    </x:row>
    <x:row r="13">
      <x:c r="A13" s="77" t="str"/>
      <x:c r="B13" s="77" t="str">
        <x:v>TOTAL INGRESOS</x:v>
      </x:c>
      <x:c r="C13" s="66" t="n">
        <x:f>SUM(C7:C12)</x:f>
        <x:v>53200</x:v>
      </x:c>
      <x:c r="D13" s="66" t="n">
        <x:f>SUM(D7:D12)</x:f>
        <x:v>51600</x:v>
      </x:c>
      <x:c r="E13" s="66" t="n">
        <x:f>SUM(E7:E12)</x:f>
        <x:v>55400</x:v>
      </x:c>
      <x:c r="F13" s="66" t="n">
        <x:f>SUM(F7:F12)</x:f>
        <x:v>59200</x:v>
      </x:c>
      <x:c r="G13" s="66" t="n">
        <x:f>SUM(G7:G12)</x:f>
        <x:v>60200</x:v>
      </x:c>
      <x:c r="H13" s="66" t="n">
        <x:f>SUM(H7:H12)</x:f>
        <x:v>64000</x:v>
      </x:c>
      <x:c r="I13" s="66" t="n">
        <x:f>SUM(I7:I12)</x:f>
        <x:v>68600</x:v>
      </x:c>
      <x:c r="J13" s="66" t="n">
        <x:f>SUM(J7:J12)</x:f>
        <x:v>62400</x:v>
      </x:c>
      <x:c r="K13" s="66" t="n">
        <x:f>SUM(K7:K12)</x:f>
        <x:v>66100</x:v>
      </x:c>
      <x:c r="L13" s="66" t="n">
        <x:f>SUM(L7:L12)</x:f>
        <x:v>70100</x:v>
      </x:c>
      <x:c r="M13" s="66" t="n">
        <x:f>SUM(M7:M12)</x:f>
        <x:v>74100</x:v>
      </x:c>
      <x:c r="N13" s="66" t="n">
        <x:f>SUM(N7:N12)</x:f>
        <x:v>88900</x:v>
      </x:c>
      <x:c r="O13" s="66" t="n">
        <x:f>SUM(C13:N13)</x:f>
        <x:v>773800</x:v>
      </x:c>
    </x:row>
    <x:row r="14">
      <x:c r="A14" s="78"/>
      <x:c r="B14" s="78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 t="n">
        <x:f>SUM(C14:N14)</x:f>
        <x:v>0</x:v>
      </x:c>
    </x:row>
    <x:row r="15" ht="24" customHeight="1">
      <x:c r="A15" s="79" t="str">
        <x:v>GASTOS DE EXPLOTACIÓN</x:v>
      </x:c>
      <x:c r="B15" s="79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 t="n">
        <x:f>SUM(C15:N15)</x:f>
        <x:v>0</x:v>
      </x:c>
    </x:row>
    <x:row r="16">
      <x:c r="A16" s="76" t="str">
        <x:v>600</x:v>
      </x:c>
      <x:c r="B16" s="76" t="str">
        <x:v>Compras de fruta, verdura y mercadería</x:v>
      </x:c>
      <x:c r="C16" s="64" t="n">
        <x:v>30000</x:v>
      </x:c>
      <x:c r="D16" s="64" t="n">
        <x:v>29000</x:v>
      </x:c>
      <x:c r="E16" s="64" t="n">
        <x:v>31000</x:v>
      </x:c>
      <x:c r="F16" s="64" t="n">
        <x:v>32000</x:v>
      </x:c>
      <x:c r="G16" s="64" t="n">
        <x:v>33500</x:v>
      </x:c>
      <x:c r="H16" s="64" t="n">
        <x:v>35500</x:v>
      </x:c>
      <x:c r="I16" s="64" t="n">
        <x:v>38000</x:v>
      </x:c>
      <x:c r="J16" s="64" t="n">
        <x:v>34500</x:v>
      </x:c>
      <x:c r="K16" s="64" t="n">
        <x:v>36500</x:v>
      </x:c>
      <x:c r="L16" s="64" t="n">
        <x:v>38500</x:v>
      </x:c>
      <x:c r="M16" s="64" t="n">
        <x:v>40500</x:v>
      </x:c>
      <x:c r="N16" s="64" t="n">
        <x:v>48000</x:v>
      </x:c>
      <x:c r="O16" s="65" t="n">
        <x:f>SUM(C16:N16)</x:f>
        <x:v>427000</x:v>
      </x:c>
    </x:row>
    <x:row r="17">
      <x:c r="A17" s="76" t="str">
        <x:v>640</x:v>
      </x:c>
      <x:c r="B17" s="76" t="str">
        <x:v>Sueldos y Seguridad Social</x:v>
      </x:c>
      <x:c r="C17" s="64" t="n">
        <x:v>13000</x:v>
      </x:c>
      <x:c r="D17" s="64" t="n">
        <x:v>13000</x:v>
      </x:c>
      <x:c r="E17" s="64" t="n">
        <x:v>13000</x:v>
      </x:c>
      <x:c r="F17" s="64" t="n">
        <x:v>13000</x:v>
      </x:c>
      <x:c r="G17" s="64" t="n">
        <x:v>13000</x:v>
      </x:c>
      <x:c r="H17" s="64" t="n">
        <x:v>14500</x:v>
      </x:c>
      <x:c r="I17" s="64" t="n">
        <x:v>14000</x:v>
      </x:c>
      <x:c r="J17" s="64" t="n">
        <x:v>13500</x:v>
      </x:c>
      <x:c r="K17" s="64" t="n">
        <x:v>13000</x:v>
      </x:c>
      <x:c r="L17" s="64" t="n">
        <x:v>13000</x:v>
      </x:c>
      <x:c r="M17" s="64" t="n">
        <x:v>13000</x:v>
      </x:c>
      <x:c r="N17" s="64" t="n">
        <x:v>15000</x:v>
      </x:c>
      <x:c r="O17" s="65" t="n">
        <x:f>SUM(C17:N17)</x:f>
        <x:v>161000</x:v>
      </x:c>
    </x:row>
    <x:row r="18">
      <x:c r="A18" s="76" t="str">
        <x:v>621</x:v>
      </x:c>
      <x:c r="B18" s="76" t="str">
        <x:v>Alquiler del local</x:v>
      </x:c>
      <x:c r="C18" s="64" t="n">
        <x:v>2300</x:v>
      </x:c>
      <x:c r="D18" s="64" t="n">
        <x:v>2300</x:v>
      </x:c>
      <x:c r="E18" s="64" t="n">
        <x:v>2300</x:v>
      </x:c>
      <x:c r="F18" s="64" t="n">
        <x:v>2300</x:v>
      </x:c>
      <x:c r="G18" s="64" t="n">
        <x:v>2300</x:v>
      </x:c>
      <x:c r="H18" s="64" t="n">
        <x:v>2300</x:v>
      </x:c>
      <x:c r="I18" s="64" t="n">
        <x:v>2300</x:v>
      </x:c>
      <x:c r="J18" s="64" t="n">
        <x:v>2300</x:v>
      </x:c>
      <x:c r="K18" s="64" t="n">
        <x:v>2300</x:v>
      </x:c>
      <x:c r="L18" s="64" t="n">
        <x:v>2300</x:v>
      </x:c>
      <x:c r="M18" s="64" t="n">
        <x:v>2300</x:v>
      </x:c>
      <x:c r="N18" s="64" t="n">
        <x:v>2300</x:v>
      </x:c>
      <x:c r="O18" s="65" t="n">
        <x:f>SUM(C18:N18)</x:f>
        <x:v>27600</x:v>
      </x:c>
    </x:row>
    <x:row r="19">
      <x:c r="A19" s="76" t="str">
        <x:v>628</x:v>
      </x:c>
      <x:c r="B19" s="76" t="str">
        <x:v>Electricidad y cámaras frigoríficas</x:v>
      </x:c>
      <x:c r="C19" s="64" t="n">
        <x:v>950</x:v>
      </x:c>
      <x:c r="D19" s="64" t="n">
        <x:v>900</x:v>
      </x:c>
      <x:c r="E19" s="64" t="n">
        <x:v>850</x:v>
      </x:c>
      <x:c r="F19" s="64" t="n">
        <x:v>820</x:v>
      </x:c>
      <x:c r="G19" s="64" t="n">
        <x:v>800</x:v>
      </x:c>
      <x:c r="H19" s="64" t="n">
        <x:v>900</x:v>
      </x:c>
      <x:c r="I19" s="64" t="n">
        <x:v>1100</x:v>
      </x:c>
      <x:c r="J19" s="64" t="n">
        <x:v>1250</x:v>
      </x:c>
      <x:c r="K19" s="64" t="n">
        <x:v>950</x:v>
      </x:c>
      <x:c r="L19" s="64" t="n">
        <x:v>900</x:v>
      </x:c>
      <x:c r="M19" s="64" t="n">
        <x:v>980</x:v>
      </x:c>
      <x:c r="N19" s="64" t="n">
        <x:v>1250</x:v>
      </x:c>
      <x:c r="O19" s="65" t="n">
        <x:f>SUM(C19:N19)</x:f>
        <x:v>11650</x:v>
      </x:c>
    </x:row>
    <x:row r="20">
      <x:c r="A20" s="76" t="str">
        <x:v>624</x:v>
      </x:c>
      <x:c r="B20" s="76" t="str">
        <x:v>Transporte y recogida en almacenes</x:v>
      </x:c>
      <x:c r="C20" s="64" t="n">
        <x:v>1500</x:v>
      </x:c>
      <x:c r="D20" s="64" t="n">
        <x:v>1450</x:v>
      </x:c>
      <x:c r="E20" s="64" t="n">
        <x:v>1550</x:v>
      </x:c>
      <x:c r="F20" s="64" t="n">
        <x:v>1600</x:v>
      </x:c>
      <x:c r="G20" s="64" t="n">
        <x:v>1650</x:v>
      </x:c>
      <x:c r="H20" s="64" t="n">
        <x:v>1800</x:v>
      </x:c>
      <x:c r="I20" s="64" t="n">
        <x:v>2000</x:v>
      </x:c>
      <x:c r="J20" s="64" t="n">
        <x:v>1750</x:v>
      </x:c>
      <x:c r="K20" s="64" t="n">
        <x:v>1850</x:v>
      </x:c>
      <x:c r="L20" s="64" t="n">
        <x:v>1950</x:v>
      </x:c>
      <x:c r="M20" s="64" t="n">
        <x:v>2050</x:v>
      </x:c>
      <x:c r="N20" s="64" t="n">
        <x:v>2400</x:v>
      </x:c>
      <x:c r="O20" s="65" t="n">
        <x:f>SUM(C20:N20)</x:f>
        <x:v>21550</x:v>
      </x:c>
    </x:row>
    <x:row r="21">
      <x:c r="A21" s="76" t="str">
        <x:v>659</x:v>
      </x:c>
      <x:c r="B21" s="76" t="str">
        <x:v>Mermas, desperdicio y producto deteriorado</x:v>
      </x:c>
      <x:c r="C21" s="64" t="n">
        <x:v>1400</x:v>
      </x:c>
      <x:c r="D21" s="64" t="n">
        <x:v>1350</x:v>
      </x:c>
      <x:c r="E21" s="64" t="n">
        <x:v>1500</x:v>
      </x:c>
      <x:c r="F21" s="64" t="n">
        <x:v>1550</x:v>
      </x:c>
      <x:c r="G21" s="64" t="n">
        <x:v>1650</x:v>
      </x:c>
      <x:c r="H21" s="64" t="n">
        <x:v>1750</x:v>
      </x:c>
      <x:c r="I21" s="64" t="n">
        <x:v>1900</x:v>
      </x:c>
      <x:c r="J21" s="64" t="n">
        <x:v>1800</x:v>
      </x:c>
      <x:c r="K21" s="64" t="n">
        <x:v>1850</x:v>
      </x:c>
      <x:c r="L21" s="64" t="n">
        <x:v>1950</x:v>
      </x:c>
      <x:c r="M21" s="64" t="n">
        <x:v>2100</x:v>
      </x:c>
      <x:c r="N21" s="64" t="n">
        <x:v>2500</x:v>
      </x:c>
      <x:c r="O21" s="65" t="n">
        <x:f>SUM(C21:N21)</x:f>
        <x:v>21300</x:v>
      </x:c>
    </x:row>
    <x:row r="22">
      <x:c r="A22" s="76" t="str">
        <x:v>602</x:v>
      </x:c>
      <x:c r="B22" s="76" t="str">
        <x:v>Bolsas, cajas y envases</x:v>
      </x:c>
      <x:c r="C22" s="64" t="n">
        <x:v>500</x:v>
      </x:c>
      <x:c r="D22" s="64" t="n">
        <x:v>500</x:v>
      </x:c>
      <x:c r="E22" s="64" t="n">
        <x:v>520</x:v>
      </x:c>
      <x:c r="F22" s="64" t="n">
        <x:v>540</x:v>
      </x:c>
      <x:c r="G22" s="64" t="n">
        <x:v>560</x:v>
      </x:c>
      <x:c r="H22" s="64" t="n">
        <x:v>600</x:v>
      </x:c>
      <x:c r="I22" s="64" t="n">
        <x:v>650</x:v>
      </x:c>
      <x:c r="J22" s="64" t="n">
        <x:v>600</x:v>
      </x:c>
      <x:c r="K22" s="64" t="n">
        <x:v>620</x:v>
      </x:c>
      <x:c r="L22" s="64" t="n">
        <x:v>650</x:v>
      </x:c>
      <x:c r="M22" s="64" t="n">
        <x:v>700</x:v>
      </x:c>
      <x:c r="N22" s="64" t="n">
        <x:v>850</x:v>
      </x:c>
      <x:c r="O22" s="65" t="n">
        <x:f>SUM(C22:N22)</x:f>
        <x:v>7290</x:v>
      </x:c>
    </x:row>
    <x:row r="23">
      <x:c r="A23" s="76" t="str">
        <x:v>627</x:v>
      </x:c>
      <x:c r="B23" s="76" t="str">
        <x:v>Publicidad y promociones</x:v>
      </x:c>
      <x:c r="C23" s="64" t="n">
        <x:v>300</x:v>
      </x:c>
      <x:c r="D23" s="64" t="n">
        <x:v>300</x:v>
      </x:c>
      <x:c r="E23" s="64" t="n">
        <x:v>350</x:v>
      </x:c>
      <x:c r="F23" s="64" t="n">
        <x:v>400</x:v>
      </x:c>
      <x:c r="G23" s="64" t="n">
        <x:v>450</x:v>
      </x:c>
      <x:c r="H23" s="64" t="n">
        <x:v>550</x:v>
      </x:c>
      <x:c r="I23" s="64" t="n">
        <x:v>600</x:v>
      </x:c>
      <x:c r="J23" s="64" t="n">
        <x:v>400</x:v>
      </x:c>
      <x:c r="K23" s="64" t="n">
        <x:v>500</x:v>
      </x:c>
      <x:c r="L23" s="64" t="n">
        <x:v>550</x:v>
      </x:c>
      <x:c r="M23" s="64" t="n">
        <x:v>600</x:v>
      </x:c>
      <x:c r="N23" s="64" t="n">
        <x:v>800</x:v>
      </x:c>
      <x:c r="O23" s="65" t="n">
        <x:f>SUM(C23:N23)</x:f>
        <x:v>5800</x:v>
      </x:c>
    </x:row>
    <x:row r="24">
      <x:c r="A24" s="76" t="str">
        <x:v>625</x:v>
      </x:c>
      <x:c r="B24" s="76" t="str">
        <x:v>Seguro, gestoría y administración</x:v>
      </x:c>
      <x:c r="C24" s="64" t="n">
        <x:v>650</x:v>
      </x:c>
      <x:c r="D24" s="64" t="n">
        <x:v>650</x:v>
      </x:c>
      <x:c r="E24" s="64" t="n">
        <x:v>650</x:v>
      </x:c>
      <x:c r="F24" s="64" t="n">
        <x:v>650</x:v>
      </x:c>
      <x:c r="G24" s="64" t="n">
        <x:v>650</x:v>
      </x:c>
      <x:c r="H24" s="64" t="n">
        <x:v>650</x:v>
      </x:c>
      <x:c r="I24" s="64" t="n">
        <x:v>650</x:v>
      </x:c>
      <x:c r="J24" s="64" t="n">
        <x:v>650</x:v>
      </x:c>
      <x:c r="K24" s="64" t="n">
        <x:v>650</x:v>
      </x:c>
      <x:c r="L24" s="64" t="n">
        <x:v>650</x:v>
      </x:c>
      <x:c r="M24" s="64" t="n">
        <x:v>650</x:v>
      </x:c>
      <x:c r="N24" s="64" t="n">
        <x:v>650</x:v>
      </x:c>
      <x:c r="O24" s="65" t="n">
        <x:f>SUM(C24:N24)</x:f>
        <x:v>7800</x:v>
      </x:c>
    </x:row>
    <x:row r="25">
      <x:c r="A25" s="76" t="str">
        <x:v>622</x:v>
      </x:c>
      <x:c r="B25" s="76" t="str">
        <x:v>Mantenimiento de cámaras y mobiliario</x:v>
      </x:c>
      <x:c r="C25" s="64" t="n">
        <x:v>400</x:v>
      </x:c>
      <x:c r="D25" s="64" t="n">
        <x:v>350</x:v>
      </x:c>
      <x:c r="E25" s="64" t="n">
        <x:v>450</x:v>
      </x:c>
      <x:c r="F25" s="64" t="n">
        <x:v>500</x:v>
      </x:c>
      <x:c r="G25" s="64" t="n">
        <x:v>550</x:v>
      </x:c>
      <x:c r="H25" s="64" t="n">
        <x:v>800</x:v>
      </x:c>
      <x:c r="I25" s="64" t="n">
        <x:v>600</x:v>
      </x:c>
      <x:c r="J25" s="64" t="n">
        <x:v>700</x:v>
      </x:c>
      <x:c r="K25" s="64" t="n">
        <x:v>500</x:v>
      </x:c>
      <x:c r="L25" s="64" t="n">
        <x:v>650</x:v>
      </x:c>
      <x:c r="M25" s="64" t="n">
        <x:v>700</x:v>
      </x:c>
      <x:c r="N25" s="64" t="n">
        <x:v>1000</x:v>
      </x:c>
      <x:c r="O25" s="65" t="n">
        <x:f>SUM(C25:N25)</x:f>
        <x:v>7200</x:v>
      </x:c>
    </x:row>
    <x:row r="26">
      <x:c r="A26" s="77" t="str"/>
      <x:c r="B26" s="77" t="str">
        <x:v>TOTAL GASTOS OPERATIVOS</x:v>
      </x:c>
      <x:c r="C26" s="66" t="n">
        <x:f>SUM(C16:C25)</x:f>
        <x:v>51000</x:v>
      </x:c>
      <x:c r="D26" s="66" t="n">
        <x:f>SUM(D16:D25)</x:f>
        <x:v>49800</x:v>
      </x:c>
      <x:c r="E26" s="66" t="n">
        <x:f>SUM(E16:E25)</x:f>
        <x:v>52170</x:v>
      </x:c>
      <x:c r="F26" s="66" t="n">
        <x:f>SUM(F16:F25)</x:f>
        <x:v>53360</x:v>
      </x:c>
      <x:c r="G26" s="66" t="n">
        <x:f>SUM(G16:G25)</x:f>
        <x:v>55110</x:v>
      </x:c>
      <x:c r="H26" s="66" t="n">
        <x:f>SUM(H16:H25)</x:f>
        <x:v>59350</x:v>
      </x:c>
      <x:c r="I26" s="66" t="n">
        <x:f>SUM(I16:I25)</x:f>
        <x:v>61800</x:v>
      </x:c>
      <x:c r="J26" s="66" t="n">
        <x:f>SUM(J16:J25)</x:f>
        <x:v>57450</x:v>
      </x:c>
      <x:c r="K26" s="66" t="n">
        <x:f>SUM(K16:K25)</x:f>
        <x:v>58720</x:v>
      </x:c>
      <x:c r="L26" s="66" t="n">
        <x:f>SUM(L16:L25)</x:f>
        <x:v>61100</x:v>
      </x:c>
      <x:c r="M26" s="66" t="n">
        <x:f>SUM(M16:M25)</x:f>
        <x:v>63580</x:v>
      </x:c>
      <x:c r="N26" s="66" t="n">
        <x:f>SUM(N16:N25)</x:f>
        <x:v>74750</x:v>
      </x:c>
      <x:c r="O26" s="66" t="n">
        <x:f>SUM(C26:N26)</x:f>
        <x:v>698190</x:v>
      </x:c>
    </x:row>
    <x:row r="27">
      <x:c r="A27" s="77" t="str"/>
      <x:c r="B27" s="77" t="str">
        <x:v>EBITDA</x:v>
      </x:c>
      <x:c r="C27" s="66" t="n">
        <x:f>C13-C26</x:f>
        <x:v>2200</x:v>
      </x:c>
      <x:c r="D27" s="66" t="n">
        <x:f>D13-D26</x:f>
        <x:v>1800</x:v>
      </x:c>
      <x:c r="E27" s="66" t="n">
        <x:f>E13-E26</x:f>
        <x:v>3230</x:v>
      </x:c>
      <x:c r="F27" s="66" t="n">
        <x:f>F13-F26</x:f>
        <x:v>5840</x:v>
      </x:c>
      <x:c r="G27" s="66" t="n">
        <x:f>G13-G26</x:f>
        <x:v>5090</x:v>
      </x:c>
      <x:c r="H27" s="66" t="n">
        <x:f>H13-H26</x:f>
        <x:v>4650</x:v>
      </x:c>
      <x:c r="I27" s="66" t="n">
        <x:f>I13-I26</x:f>
        <x:v>6800</x:v>
      </x:c>
      <x:c r="J27" s="66" t="n">
        <x:f>J13-J26</x:f>
        <x:v>4950</x:v>
      </x:c>
      <x:c r="K27" s="66" t="n">
        <x:f>K13-K26</x:f>
        <x:v>7380</x:v>
      </x:c>
      <x:c r="L27" s="66" t="n">
        <x:f>L13-L26</x:f>
        <x:v>9000</x:v>
      </x:c>
      <x:c r="M27" s="66" t="n">
        <x:f>M13-M26</x:f>
        <x:v>10520</x:v>
      </x:c>
      <x:c r="N27" s="66" t="n">
        <x:f>N13-N26</x:f>
        <x:v>14150</x:v>
      </x:c>
      <x:c r="O27" s="66" t="n">
        <x:f>SUM(C27:N27)</x:f>
        <x:v>75610</x:v>
      </x:c>
    </x:row>
    <x:row r="28">
      <x:c r="A28" s="76" t="str">
        <x:v>681</x:v>
      </x:c>
      <x:c r="B28" s="76" t="str">
        <x:v>Amortización de cámaras frigoríficas y equipos</x:v>
      </x:c>
      <x:c r="C28" s="64" t="n">
        <x:v>900</x:v>
      </x:c>
      <x:c r="D28" s="64" t="n">
        <x:v>900</x:v>
      </x:c>
      <x:c r="E28" s="64" t="n">
        <x:v>900</x:v>
      </x:c>
      <x:c r="F28" s="64" t="n">
        <x:v>900</x:v>
      </x:c>
      <x:c r="G28" s="64" t="n">
        <x:v>900</x:v>
      </x:c>
      <x:c r="H28" s="64" t="n">
        <x:v>900</x:v>
      </x:c>
      <x:c r="I28" s="64" t="n">
        <x:v>900</x:v>
      </x:c>
      <x:c r="J28" s="64" t="n">
        <x:v>900</x:v>
      </x:c>
      <x:c r="K28" s="64" t="n">
        <x:v>900</x:v>
      </x:c>
      <x:c r="L28" s="64" t="n">
        <x:v>900</x:v>
      </x:c>
      <x:c r="M28" s="64" t="n">
        <x:v>900</x:v>
      </x:c>
      <x:c r="N28" s="64" t="n">
        <x:v>900</x:v>
      </x:c>
      <x:c r="O28" s="65" t="n">
        <x:f>SUM(C28:N28)</x:f>
        <x:v>10800</x:v>
      </x:c>
    </x:row>
    <x:row r="29">
      <x:c r="A29" s="77" t="str"/>
      <x:c r="B29" s="77" t="str">
        <x:v>RESULTADO DE EXPLOTACIÓN</x:v>
      </x:c>
      <x:c r="C29" s="66" t="n">
        <x:f>C27-C28</x:f>
        <x:v>1300</x:v>
      </x:c>
      <x:c r="D29" s="66" t="n">
        <x:f>D27-D28</x:f>
        <x:v>900</x:v>
      </x:c>
      <x:c r="E29" s="66" t="n">
        <x:f>E27-E28</x:f>
        <x:v>2330</x:v>
      </x:c>
      <x:c r="F29" s="66" t="n">
        <x:f>F27-F28</x:f>
        <x:v>4940</x:v>
      </x:c>
      <x:c r="G29" s="66" t="n">
        <x:f>G27-G28</x:f>
        <x:v>4190</x:v>
      </x:c>
      <x:c r="H29" s="66" t="n">
        <x:f>H27-H28</x:f>
        <x:v>3750</x:v>
      </x:c>
      <x:c r="I29" s="66" t="n">
        <x:f>I27-I28</x:f>
        <x:v>5900</x:v>
      </x:c>
      <x:c r="J29" s="66" t="n">
        <x:f>J27-J28</x:f>
        <x:v>4050</x:v>
      </x:c>
      <x:c r="K29" s="66" t="n">
        <x:f>K27-K28</x:f>
        <x:v>6480</x:v>
      </x:c>
      <x:c r="L29" s="66" t="n">
        <x:f>L27-L28</x:f>
        <x:v>8100</x:v>
      </x:c>
      <x:c r="M29" s="66" t="n">
        <x:f>M27-M28</x:f>
        <x:v>9620</x:v>
      </x:c>
      <x:c r="N29" s="66" t="n">
        <x:f>N27-N28</x:f>
        <x:v>13250</x:v>
      </x:c>
      <x:c r="O29" s="66" t="n">
        <x:f>SUM(C29:N29)</x:f>
        <x:v>64810</x:v>
      </x:c>
    </x:row>
    <x:row r="30">
      <x:c r="A30" s="76" t="str">
        <x:v>662</x:v>
      </x:c>
      <x:c r="B30" s="76" t="str">
        <x:v>Intereses del préstamo</x:v>
      </x:c>
      <x:c r="C30" s="64" t="n">
        <x:v>180</x:v>
      </x:c>
      <x:c r="D30" s="64" t="n">
        <x:v>180</x:v>
      </x:c>
      <x:c r="E30" s="64" t="n">
        <x:v>180</x:v>
      </x:c>
      <x:c r="F30" s="64" t="n">
        <x:v>180</x:v>
      </x:c>
      <x:c r="G30" s="64" t="n">
        <x:v>180</x:v>
      </x:c>
      <x:c r="H30" s="64" t="n">
        <x:v>180</x:v>
      </x:c>
      <x:c r="I30" s="64" t="n">
        <x:v>180</x:v>
      </x:c>
      <x:c r="J30" s="64" t="n">
        <x:v>180</x:v>
      </x:c>
      <x:c r="K30" s="64" t="n">
        <x:v>180</x:v>
      </x:c>
      <x:c r="L30" s="64" t="n">
        <x:v>180</x:v>
      </x:c>
      <x:c r="M30" s="64" t="n">
        <x:v>180</x:v>
      </x:c>
      <x:c r="N30" s="64" t="n">
        <x:v>180</x:v>
      </x:c>
      <x:c r="O30" s="65" t="n">
        <x:f>SUM(C30:N30)</x:f>
        <x:v>2160</x:v>
      </x:c>
    </x:row>
    <x:row r="31">
      <x:c r="A31" s="77" t="str"/>
      <x:c r="B31" s="77" t="str">
        <x:v>RESULTADO ANTES DE IMPUESTOS</x:v>
      </x:c>
      <x:c r="C31" s="66" t="n">
        <x:f>C29-C30</x:f>
        <x:v>1120</x:v>
      </x:c>
      <x:c r="D31" s="66" t="n">
        <x:f>D29-D30</x:f>
        <x:v>720</x:v>
      </x:c>
      <x:c r="E31" s="66" t="n">
        <x:f>E29-E30</x:f>
        <x:v>2150</x:v>
      </x:c>
      <x:c r="F31" s="66" t="n">
        <x:f>F29-F30</x:f>
        <x:v>4760</x:v>
      </x:c>
      <x:c r="G31" s="66" t="n">
        <x:f>G29-G30</x:f>
        <x:v>4010</x:v>
      </x:c>
      <x:c r="H31" s="66" t="n">
        <x:f>H29-H30</x:f>
        <x:v>3570</x:v>
      </x:c>
      <x:c r="I31" s="66" t="n">
        <x:f>I29-I30</x:f>
        <x:v>5720</x:v>
      </x:c>
      <x:c r="J31" s="66" t="n">
        <x:f>J29-J30</x:f>
        <x:v>3870</x:v>
      </x:c>
      <x:c r="K31" s="66" t="n">
        <x:f>K29-K30</x:f>
        <x:v>6300</x:v>
      </x:c>
      <x:c r="L31" s="66" t="n">
        <x:f>L29-L30</x:f>
        <x:v>7920</x:v>
      </x:c>
      <x:c r="M31" s="66" t="n">
        <x:f>M29-M30</x:f>
        <x:v>9440</x:v>
      </x:c>
      <x:c r="N31" s="66" t="n">
        <x:f>N29-N30</x:f>
        <x:v>13070</x:v>
      </x:c>
      <x:c r="O31" s="66" t="n">
        <x:f>SUM(C31:N31)</x:f>
        <x:v>62650</x:v>
      </x:c>
    </x:row>
    <x:row r="32">
      <x:c r="A32" s="76" t="str">
        <x:v>630</x:v>
      </x:c>
      <x:c r="B32" s="76" t="str">
        <x:v>Impuesto sobre beneficios estimado</x:v>
      </x:c>
      <x:c r="C32" s="69" t="n">
        <x:f>MAX(0,C31*20%)</x:f>
        <x:v>224</x:v>
      </x:c>
      <x:c r="D32" s="69" t="n">
        <x:f>MAX(0,D31*20%)</x:f>
        <x:v>144</x:v>
      </x:c>
      <x:c r="E32" s="69" t="n">
        <x:f>MAX(0,E31*20%)</x:f>
        <x:v>430</x:v>
      </x:c>
      <x:c r="F32" s="69" t="n">
        <x:f>MAX(0,F31*20%)</x:f>
        <x:v>952</x:v>
      </x:c>
      <x:c r="G32" s="69" t="n">
        <x:f>MAX(0,G31*20%)</x:f>
        <x:v>802</x:v>
      </x:c>
      <x:c r="H32" s="69" t="n">
        <x:f>MAX(0,H31*20%)</x:f>
        <x:v>714</x:v>
      </x:c>
      <x:c r="I32" s="69" t="n">
        <x:f>MAX(0,I31*20%)</x:f>
        <x:v>1144</x:v>
      </x:c>
      <x:c r="J32" s="69" t="n">
        <x:f>MAX(0,J31*20%)</x:f>
        <x:v>774</x:v>
      </x:c>
      <x:c r="K32" s="69" t="n">
        <x:f>MAX(0,K31*20%)</x:f>
        <x:v>1260</x:v>
      </x:c>
      <x:c r="L32" s="69" t="n">
        <x:f>MAX(0,L31*20%)</x:f>
        <x:v>1584</x:v>
      </x:c>
      <x:c r="M32" s="69" t="n">
        <x:f>MAX(0,M31*20%)</x:f>
        <x:v>1888</x:v>
      </x:c>
      <x:c r="N32" s="69" t="n">
        <x:f>MAX(0,N31*20%)</x:f>
        <x:v>2614</x:v>
      </x:c>
      <x:c r="O32" s="69" t="n">
        <x:f>SUM(C32:N32)</x:f>
        <x:v>12530</x:v>
      </x:c>
    </x:row>
    <x:row r="33">
      <x:c r="A33" s="77" t="str"/>
      <x:c r="B33" s="77" t="str">
        <x:v>RESULTADO NETO</x:v>
      </x:c>
      <x:c r="C33" s="66" t="n">
        <x:f>C31-C32</x:f>
        <x:v>896</x:v>
      </x:c>
      <x:c r="D33" s="66" t="n">
        <x:f>D31-D32</x:f>
        <x:v>576</x:v>
      </x:c>
      <x:c r="E33" s="66" t="n">
        <x:f>E31-E32</x:f>
        <x:v>1720</x:v>
      </x:c>
      <x:c r="F33" s="66" t="n">
        <x:f>F31-F32</x:f>
        <x:v>3808</x:v>
      </x:c>
      <x:c r="G33" s="66" t="n">
        <x:f>G31-G32</x:f>
        <x:v>3208</x:v>
      </x:c>
      <x:c r="H33" s="66" t="n">
        <x:f>H31-H32</x:f>
        <x:v>2856</x:v>
      </x:c>
      <x:c r="I33" s="66" t="n">
        <x:f>I31-I32</x:f>
        <x:v>4576</x:v>
      </x:c>
      <x:c r="J33" s="66" t="n">
        <x:f>J31-J32</x:f>
        <x:v>3096</x:v>
      </x:c>
      <x:c r="K33" s="66" t="n">
        <x:f>K31-K32</x:f>
        <x:v>5040</x:v>
      </x:c>
      <x:c r="L33" s="66" t="n">
        <x:f>L31-L32</x:f>
        <x:v>6336</x:v>
      </x:c>
      <x:c r="M33" s="66" t="n">
        <x:f>M31-M32</x:f>
        <x:v>7552</x:v>
      </x:c>
      <x:c r="N33" s="66" t="n">
        <x:f>N31-N32</x:f>
        <x:v>10456</x:v>
      </x:c>
      <x:c r="O33" s="66" t="n">
        <x:f>SUM(C33:N33)</x:f>
        <x:v>50120</x:v>
      </x:c>
    </x:row>
    <x:row r="34">
      <x:c r="A34" s="78"/>
      <x:c r="B34" s="78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</x:row>
    <x:row r="35" ht="24" customHeight="1">
      <x:c r="A35" s="79" t="str">
        <x:v>TESORERÍA</x:v>
      </x:c>
      <x:c r="B35" s="79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</x:row>
    <x:row r="36">
      <x:c r="A36" s="76" t="str"/>
      <x:c r="B36" s="76" t="str">
        <x:v>Saldo inicial del mes</x:v>
      </x:c>
      <x:c r="C36" s="69" t="n">
        <x:v>45000</x:v>
      </x:c>
      <x:c r="D36" s="69" t="n">
        <x:f>C48</x:f>
        <x:v>63156</x:v>
      </x:c>
      <x:c r="E36" s="69" t="n">
        <x:f>D48</x:f>
        <x:v>63858</x:v>
      </x:c>
      <x:c r="F36" s="69" t="n">
        <x:f>E48</x:f>
        <x:v>61832</x:v>
      </x:c>
      <x:c r="G36" s="69" t="n">
        <x:f>F48</x:f>
        <x:v>66766</x:v>
      </x:c>
      <x:c r="H36" s="69" t="n">
        <x:f>G48</x:f>
        <x:v>53081</x:v>
      </x:c>
      <x:c r="I36" s="69" t="n">
        <x:f>H48</x:f>
        <x:v>51475</x:v>
      </x:c>
      <x:c r="J36" s="69" t="n">
        <x:f>I48</x:f>
        <x:v>57578</x:v>
      </x:c>
      <x:c r="K36" s="69" t="n">
        <x:f>J48</x:f>
        <x:v>61147</x:v>
      </x:c>
      <x:c r="L36" s="69" t="n">
        <x:f>K48</x:f>
        <x:v>61773</x:v>
      </x:c>
      <x:c r="M36" s="69" t="n">
        <x:f>L48</x:f>
        <x:v>62513</x:v>
      </x:c>
      <x:c r="N36" s="69" t="n">
        <x:f>M48</x:f>
        <x:v>72273</x:v>
      </x:c>
      <x:c r="O36" s="69" t="n">
        <x:f>C36</x:f>
        <x:v>45000</x:v>
      </x:c>
    </x:row>
    <x:row r="37">
      <x:c r="A37" s="76" t="str"/>
      <x:c r="B37" s="76" t="str">
        <x:v>Cobros de clientes</x:v>
      </x:c>
      <x:c r="C37" s="69" t="n">
        <x:f>C13*98%+2500</x:f>
        <x:v>54636</x:v>
      </x:c>
      <x:c r="D37" s="69" t="n">
        <x:f>D13*98%+C13*2%</x:f>
        <x:v>51632</x:v>
      </x:c>
      <x:c r="E37" s="69" t="n">
        <x:f>E13*98%+D13*2%</x:f>
        <x:v>55324</x:v>
      </x:c>
      <x:c r="F37" s="69" t="n">
        <x:f>F13*98%+E13*2%</x:f>
        <x:v>59124</x:v>
      </x:c>
      <x:c r="G37" s="69" t="n">
        <x:f>G13*98%+F13*2%</x:f>
        <x:v>60180</x:v>
      </x:c>
      <x:c r="H37" s="69" t="n">
        <x:f>H13*98%+G13*2%</x:f>
        <x:v>63924</x:v>
      </x:c>
      <x:c r="I37" s="69" t="n">
        <x:f>I13*98%+H13*2%</x:f>
        <x:v>68508</x:v>
      </x:c>
      <x:c r="J37" s="69" t="n">
        <x:f>J13*98%+I13*2%</x:f>
        <x:v>62524</x:v>
      </x:c>
      <x:c r="K37" s="69" t="n">
        <x:f>K13*98%+J13*2%</x:f>
        <x:v>66026</x:v>
      </x:c>
      <x:c r="L37" s="69" t="n">
        <x:f>L13*98%+K13*2%</x:f>
        <x:v>70020</x:v>
      </x:c>
      <x:c r="M37" s="69" t="n">
        <x:f>M13*98%+L13*2%</x:f>
        <x:v>74020</x:v>
      </x:c>
      <x:c r="N37" s="69" t="n">
        <x:f>N13*98%+M13*2%</x:f>
        <x:v>88604</x:v>
      </x:c>
      <x:c r="O37" s="69" t="n">
        <x:f>SUM(C37:N37)</x:f>
        <x:v>774522</x:v>
      </x:c>
    </x:row>
    <x:row r="38">
      <x:c r="A38" s="76" t="str"/>
      <x:c r="B38" s="76" t="str">
        <x:v>Pagos a proveedores</x:v>
      </x:c>
      <x:c r="C38" s="69" t="n">
        <x:f>-(C16*85%+4000)</x:f>
        <x:v>-29500</x:v>
      </x:c>
      <x:c r="D38" s="69" t="n">
        <x:f>-(D16*85%+C16*15%)</x:f>
        <x:v>-29150</x:v>
      </x:c>
      <x:c r="E38" s="69" t="n">
        <x:f>-(E16*85%+D16*15%)</x:f>
        <x:v>-30700</x:v>
      </x:c>
      <x:c r="F38" s="69" t="n">
        <x:f>-(F16*85%+E16*15%)</x:f>
        <x:v>-31850</x:v>
      </x:c>
      <x:c r="G38" s="69" t="n">
        <x:f>-(G16*85%+F16*15%)</x:f>
        <x:v>-33275</x:v>
      </x:c>
      <x:c r="H38" s="69" t="n">
        <x:f>-(H16*85%+G16*15%)</x:f>
        <x:v>-35200</x:v>
      </x:c>
      <x:c r="I38" s="69" t="n">
        <x:f>-(I16*85%+H16*15%)</x:f>
        <x:v>-37625</x:v>
      </x:c>
      <x:c r="J38" s="69" t="n">
        <x:f>-(J16*85%+I16*15%)</x:f>
        <x:v>-35025</x:v>
      </x:c>
      <x:c r="K38" s="69" t="n">
        <x:f>-(K16*85%+J16*15%)</x:f>
        <x:v>-36200</x:v>
      </x:c>
      <x:c r="L38" s="69" t="n">
        <x:f>-(L16*85%+K16*15%)</x:f>
        <x:v>-38200</x:v>
      </x:c>
      <x:c r="M38" s="69" t="n">
        <x:f>-(M16*85%+L16*15%)</x:f>
        <x:v>-40200</x:v>
      </x:c>
      <x:c r="N38" s="69" t="n">
        <x:f>-(N16*85%+M16*15%)</x:f>
        <x:v>-46875</x:v>
      </x:c>
      <x:c r="O38" s="69" t="n">
        <x:f>SUM(C38:N38)</x:f>
        <x:v>-423800</x:v>
      </x:c>
    </x:row>
    <x:row r="39">
      <x:c r="A39" s="76" t="str"/>
      <x:c r="B39" s="76" t="str">
        <x:v>Pagos de personal</x:v>
      </x:c>
      <x:c r="C39" s="69" t="n">
        <x:f>-C17</x:f>
        <x:v>-13000</x:v>
      </x:c>
      <x:c r="D39" s="69" t="n">
        <x:f>-D17</x:f>
        <x:v>-13000</x:v>
      </x:c>
      <x:c r="E39" s="69" t="n">
        <x:f>-E17</x:f>
        <x:v>-13000</x:v>
      </x:c>
      <x:c r="F39" s="69" t="n">
        <x:f>-F17</x:f>
        <x:v>-13000</x:v>
      </x:c>
      <x:c r="G39" s="69" t="n">
        <x:f>-G17</x:f>
        <x:v>-13000</x:v>
      </x:c>
      <x:c r="H39" s="69" t="n">
        <x:f>-H17</x:f>
        <x:v>-14500</x:v>
      </x:c>
      <x:c r="I39" s="69" t="n">
        <x:f>-I17</x:f>
        <x:v>-14000</x:v>
      </x:c>
      <x:c r="J39" s="69" t="n">
        <x:f>-J17</x:f>
        <x:v>-13500</x:v>
      </x:c>
      <x:c r="K39" s="69" t="n">
        <x:f>-K17</x:f>
        <x:v>-13000</x:v>
      </x:c>
      <x:c r="L39" s="69" t="n">
        <x:f>-L17</x:f>
        <x:v>-13000</x:v>
      </x:c>
      <x:c r="M39" s="69" t="n">
        <x:f>-M17</x:f>
        <x:v>-13000</x:v>
      </x:c>
      <x:c r="N39" s="69" t="n">
        <x:f>-N17</x:f>
        <x:v>-15000</x:v>
      </x:c>
      <x:c r="O39" s="69" t="n">
        <x:f>SUM(C39:N39)</x:f>
        <x:v>-161000</x:v>
      </x:c>
    </x:row>
    <x:row r="40">
      <x:c r="A40" s="76" t="str"/>
      <x:c r="B40" s="76" t="str">
        <x:v>Pagos de alquiler, electricidad y transporte</x:v>
      </x:c>
      <x:c r="C40" s="69" t="n">
        <x:f>-SUM(C18:C20)</x:f>
        <x:v>-4750</x:v>
      </x:c>
      <x:c r="D40" s="69" t="n">
        <x:f>-SUM(D18:D20)</x:f>
        <x:v>-4650</x:v>
      </x:c>
      <x:c r="E40" s="69" t="n">
        <x:f>-SUM(E18:E20)</x:f>
        <x:v>-4700</x:v>
      </x:c>
      <x:c r="F40" s="69" t="n">
        <x:f>-SUM(F18:F20)</x:f>
        <x:v>-4720</x:v>
      </x:c>
      <x:c r="G40" s="69" t="n">
        <x:f>-SUM(G18:G20)</x:f>
        <x:v>-4750</x:v>
      </x:c>
      <x:c r="H40" s="69" t="n">
        <x:f>-SUM(H18:H20)</x:f>
        <x:v>-5000</x:v>
      </x:c>
      <x:c r="I40" s="69" t="n">
        <x:f>-SUM(I18:I20)</x:f>
        <x:v>-5400</x:v>
      </x:c>
      <x:c r="J40" s="69" t="n">
        <x:f>-SUM(J18:J20)</x:f>
        <x:v>-5300</x:v>
      </x:c>
      <x:c r="K40" s="69" t="n">
        <x:f>-SUM(K18:K20)</x:f>
        <x:v>-5100</x:v>
      </x:c>
      <x:c r="L40" s="69" t="n">
        <x:f>-SUM(L18:L20)</x:f>
        <x:v>-5150</x:v>
      </x:c>
      <x:c r="M40" s="69" t="n">
        <x:f>-SUM(M18:M20)</x:f>
        <x:v>-5330</x:v>
      </x:c>
      <x:c r="N40" s="69" t="n">
        <x:f>-SUM(N18:N20)</x:f>
        <x:v>-5950</x:v>
      </x:c>
      <x:c r="O40" s="69" t="n">
        <x:f>SUM(C40:N40)</x:f>
        <x:v>-60800</x:v>
      </x:c>
    </x:row>
    <x:row r="41">
      <x:c r="A41" s="76" t="str"/>
      <x:c r="B41" s="76" t="str">
        <x:v>Otros pagos operativos</x:v>
      </x:c>
      <x:c r="C41" s="69" t="n">
        <x:f>-SUM(C21:C25)</x:f>
        <x:v>-3250</x:v>
      </x:c>
      <x:c r="D41" s="69" t="n">
        <x:f>-SUM(D21:D25)</x:f>
        <x:v>-3150</x:v>
      </x:c>
      <x:c r="E41" s="69" t="n">
        <x:f>-SUM(E21:E25)</x:f>
        <x:v>-3470</x:v>
      </x:c>
      <x:c r="F41" s="69" t="n">
        <x:f>-SUM(F21:F25)</x:f>
        <x:v>-3640</x:v>
      </x:c>
      <x:c r="G41" s="69" t="n">
        <x:f>-SUM(G21:G25)</x:f>
        <x:v>-3860</x:v>
      </x:c>
      <x:c r="H41" s="69" t="n">
        <x:f>-SUM(H21:H25)</x:f>
        <x:v>-4350</x:v>
      </x:c>
      <x:c r="I41" s="69" t="n">
        <x:f>-SUM(I21:I25)</x:f>
        <x:v>-4400</x:v>
      </x:c>
      <x:c r="J41" s="69" t="n">
        <x:f>-SUM(J21:J25)</x:f>
        <x:v>-4150</x:v>
      </x:c>
      <x:c r="K41" s="69" t="n">
        <x:f>-SUM(K21:K25)</x:f>
        <x:v>-4120</x:v>
      </x:c>
      <x:c r="L41" s="69" t="n">
        <x:f>-SUM(L21:L25)</x:f>
        <x:v>-4450</x:v>
      </x:c>
      <x:c r="M41" s="69" t="n">
        <x:f>-SUM(M21:M25)</x:f>
        <x:v>-4750</x:v>
      </x:c>
      <x:c r="N41" s="69" t="n">
        <x:f>-SUM(N21:N25)</x:f>
        <x:v>-5800</x:v>
      </x:c>
      <x:c r="O41" s="69" t="n">
        <x:f>SUM(C41:N41)</x:f>
        <x:v>-49390</x:v>
      </x:c>
    </x:row>
    <x:row r="42">
      <x:c r="A42" s="76" t="str"/>
      <x:c r="B42" s="76" t="str">
        <x:v>Impuestos pagados</x:v>
      </x:c>
      <x:c r="C42" s="64" t="n">
        <x:v>0</x:v>
      </x:c>
      <x:c r="D42" s="64" t="n">
        <x:v>0</x:v>
      </x:c>
      <x:c r="E42" s="64" t="n">
        <x:v>-4500</x:v>
      </x:c>
      <x:c r="F42" s="64" t="n">
        <x:v>0</x:v>
      </x:c>
      <x:c r="G42" s="64" t="n">
        <x:v>0</x:v>
      </x:c>
      <x:c r="H42" s="64" t="n">
        <x:v>-5500</x:v>
      </x:c>
      <x:c r="I42" s="64" t="n">
        <x:v>0</x:v>
      </x:c>
      <x:c r="J42" s="64" t="n">
        <x:v>0</x:v>
      </x:c>
      <x:c r="K42" s="64" t="n">
        <x:v>-6000</x:v>
      </x:c>
      <x:c r="L42" s="64" t="n">
        <x:v>0</x:v>
      </x:c>
      <x:c r="M42" s="64" t="n">
        <x:v>0</x:v>
      </x:c>
      <x:c r="N42" s="64" t="n">
        <x:v>-8000</x:v>
      </x:c>
      <x:c r="O42" s="65" t="n">
        <x:f>SUM(C42:N42)</x:f>
        <x:v>-24000</x:v>
      </x:c>
    </x:row>
    <x:row r="43">
      <x:c r="A43" s="76" t="str"/>
      <x:c r="B43" s="76" t="str">
        <x:v>Compra de cámaras frigoríficas y mobiliario</x:v>
      </x:c>
      <x:c r="C43" s="64" t="n">
        <x:v>0</x:v>
      </x:c>
      <x:c r="D43" s="64" t="n">
        <x:v>0</x:v>
      </x:c>
      <x:c r="E43" s="64" t="n">
        <x:v>0</x:v>
      </x:c>
      <x:c r="F43" s="64" t="n">
        <x:v>0</x:v>
      </x:c>
      <x:c r="G43" s="64" t="n">
        <x:v>-18000</x:v>
      </x:c>
      <x:c r="H43" s="64" t="n">
        <x:v>0</x:v>
      </x:c>
      <x:c r="I43" s="64" t="n">
        <x:v>0</x:v>
      </x:c>
      <x:c r="J43" s="64" t="n">
        <x:v>0</x:v>
      </x:c>
      <x:c r="K43" s="64" t="n">
        <x:v>0</x:v>
      </x:c>
      <x:c r="L43" s="64" t="n">
        <x:v>-7500</x:v>
      </x:c>
      <x:c r="M43" s="64" t="n">
        <x:v>0</x:v>
      </x:c>
      <x:c r="N43" s="64" t="n">
        <x:v>0</x:v>
      </x:c>
      <x:c r="O43" s="65" t="n">
        <x:f>SUM(C43:N43)</x:f>
        <x:v>-25500</x:v>
      </x:c>
    </x:row>
    <x:row r="44">
      <x:c r="A44" s="76" t="str"/>
      <x:c r="B44" s="76" t="str">
        <x:v>Préstamo recibido</x:v>
      </x:c>
      <x:c r="C44" s="64" t="n">
        <x:v>15000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64" t="n">
        <x:v>0</x:v>
      </x:c>
      <x:c r="I44" s="64" t="n">
        <x:v>0</x:v>
      </x:c>
      <x:c r="J44" s="64" t="n">
        <x:v>0</x:v>
      </x:c>
      <x:c r="K44" s="64" t="n">
        <x:v>0</x:v>
      </x:c>
      <x:c r="L44" s="64" t="n">
        <x:v>0</x:v>
      </x:c>
      <x:c r="M44" s="64" t="n">
        <x:v>0</x:v>
      </x:c>
      <x:c r="N44" s="64" t="n">
        <x:v>0</x:v>
      </x:c>
      <x:c r="O44" s="65" t="n">
        <x:f>SUM(C44:N44)</x:f>
        <x:v>15000</x:v>
      </x:c>
    </x:row>
    <x:row r="45">
      <x:c r="A45" s="76" t="str"/>
      <x:c r="B45" s="76" t="str">
        <x:v>Devolución del préstamo</x:v>
      </x:c>
      <x:c r="C45" s="64" t="n">
        <x:v>-800</x:v>
      </x:c>
      <x:c r="D45" s="64" t="n">
        <x:v>-800</x:v>
      </x:c>
      <x:c r="E45" s="64" t="n">
        <x:v>-800</x:v>
      </x:c>
      <x:c r="F45" s="64" t="n">
        <x:v>-800</x:v>
      </x:c>
      <x:c r="G45" s="64" t="n">
        <x:v>-800</x:v>
      </x:c>
      <x:c r="H45" s="64" t="n">
        <x:v>-800</x:v>
      </x:c>
      <x:c r="I45" s="64" t="n">
        <x:v>-800</x:v>
      </x:c>
      <x:c r="J45" s="64" t="n">
        <x:v>-800</x:v>
      </x:c>
      <x:c r="K45" s="64" t="n">
        <x:v>-800</x:v>
      </x:c>
      <x:c r="L45" s="64" t="n">
        <x:v>-800</x:v>
      </x:c>
      <x:c r="M45" s="64" t="n">
        <x:v>-800</x:v>
      </x:c>
      <x:c r="N45" s="64" t="n">
        <x:v>-800</x:v>
      </x:c>
      <x:c r="O45" s="65" t="n">
        <x:f>SUM(C45:N45)</x:f>
        <x:v>-9600</x:v>
      </x:c>
    </x:row>
    <x:row r="46">
      <x:c r="A46" s="76" t="str"/>
      <x:c r="B46" s="76" t="str">
        <x:v>Intereses pagados</x:v>
      </x:c>
      <x:c r="C46" s="64" t="n">
        <x:v>-180</x:v>
      </x:c>
      <x:c r="D46" s="64" t="n">
        <x:v>-180</x:v>
      </x:c>
      <x:c r="E46" s="64" t="n">
        <x:v>-180</x:v>
      </x:c>
      <x:c r="F46" s="64" t="n">
        <x:v>-180</x:v>
      </x:c>
      <x:c r="G46" s="64" t="n">
        <x:v>-180</x:v>
      </x:c>
      <x:c r="H46" s="64" t="n">
        <x:v>-180</x:v>
      </x:c>
      <x:c r="I46" s="64" t="n">
        <x:v>-180</x:v>
      </x:c>
      <x:c r="J46" s="64" t="n">
        <x:v>-180</x:v>
      </x:c>
      <x:c r="K46" s="64" t="n">
        <x:v>-180</x:v>
      </x:c>
      <x:c r="L46" s="64" t="n">
        <x:v>-180</x:v>
      </x:c>
      <x:c r="M46" s="64" t="n">
        <x:v>-180</x:v>
      </x:c>
      <x:c r="N46" s="64" t="n">
        <x:v>-180</x:v>
      </x:c>
      <x:c r="O46" s="65" t="n">
        <x:f>SUM(C46:N46)</x:f>
        <x:v>-2160</x:v>
      </x:c>
    </x:row>
    <x:row r="47">
      <x:c r="A47" s="77" t="str"/>
      <x:c r="B47" s="77" t="str">
        <x:v>CASH NETO DEL MES</x:v>
      </x:c>
      <x:c r="C47" s="66" t="n">
        <x:f>SUM(C37:C46)</x:f>
        <x:v>18156</x:v>
      </x:c>
      <x:c r="D47" s="66" t="n">
        <x:f>SUM(D37:D46)</x:f>
        <x:v>702</x:v>
      </x:c>
      <x:c r="E47" s="66" t="n">
        <x:f>SUM(E37:E46)</x:f>
        <x:v>-2026</x:v>
      </x:c>
      <x:c r="F47" s="66" t="n">
        <x:f>SUM(F37:F46)</x:f>
        <x:v>4934</x:v>
      </x:c>
      <x:c r="G47" s="66" t="n">
        <x:f>SUM(G37:G46)</x:f>
        <x:v>-13685</x:v>
      </x:c>
      <x:c r="H47" s="66" t="n">
        <x:f>SUM(H37:H46)</x:f>
        <x:v>-1606</x:v>
      </x:c>
      <x:c r="I47" s="66" t="n">
        <x:f>SUM(I37:I46)</x:f>
        <x:v>6103</x:v>
      </x:c>
      <x:c r="J47" s="66" t="n">
        <x:f>SUM(J37:J46)</x:f>
        <x:v>3569</x:v>
      </x:c>
      <x:c r="K47" s="66" t="n">
        <x:f>SUM(K37:K46)</x:f>
        <x:v>626</x:v>
      </x:c>
      <x:c r="L47" s="66" t="n">
        <x:f>SUM(L37:L46)</x:f>
        <x:v>740</x:v>
      </x:c>
      <x:c r="M47" s="66" t="n">
        <x:f>SUM(M37:M46)</x:f>
        <x:v>9760</x:v>
      </x:c>
      <x:c r="N47" s="66" t="n">
        <x:f>SUM(N37:N46)</x:f>
        <x:v>5999</x:v>
      </x:c>
      <x:c r="O47" s="66" t="n">
        <x:f>SUM(C47:N47)</x:f>
        <x:v>33272</x:v>
      </x:c>
    </x:row>
    <x:row r="48">
      <x:c r="A48" s="77" t="str"/>
      <x:c r="B48" s="77" t="str">
        <x:v>SALDO FINAL DEL MES</x:v>
      </x:c>
      <x:c r="C48" s="66" t="n">
        <x:f>C36+C47</x:f>
        <x:v>63156</x:v>
      </x:c>
      <x:c r="D48" s="66" t="n">
        <x:f>D36+D47</x:f>
        <x:v>63858</x:v>
      </x:c>
      <x:c r="E48" s="66" t="n">
        <x:f>E36+E47</x:f>
        <x:v>61832</x:v>
      </x:c>
      <x:c r="F48" s="66" t="n">
        <x:f>F36+F47</x:f>
        <x:v>66766</x:v>
      </x:c>
      <x:c r="G48" s="66" t="n">
        <x:f>G36+G47</x:f>
        <x:v>53081</x:v>
      </x:c>
      <x:c r="H48" s="66" t="n">
        <x:f>H36+H47</x:f>
        <x:v>51475</x:v>
      </x:c>
      <x:c r="I48" s="66" t="n">
        <x:f>I36+I47</x:f>
        <x:v>57578</x:v>
      </x:c>
      <x:c r="J48" s="66" t="n">
        <x:f>J36+J47</x:f>
        <x:v>61147</x:v>
      </x:c>
      <x:c r="K48" s="66" t="n">
        <x:f>K36+K47</x:f>
        <x:v>61773</x:v>
      </x:c>
      <x:c r="L48" s="66" t="n">
        <x:f>L36+L47</x:f>
        <x:v>62513</x:v>
      </x:c>
      <x:c r="M48" s="66" t="n">
        <x:f>M36+M47</x:f>
        <x:v>72273</x:v>
      </x:c>
      <x:c r="N48" s="66" t="n">
        <x:f>N36+N47</x:f>
        <x:v>78272</x:v>
      </x:c>
      <x:c r="O48" s="66" t="n">
        <x:f>N48</x:f>
        <x:v>78272</x:v>
      </x:c>
    </x:row>
    <x:row r="51" ht="30" customHeight="1">
      <x:c r="A51" s="84" t="str">
        <x:v>Nota: los subtotales y resultados no deben sumarse junto con el detalle. El saldo final anual corresponde al cierre de diciembre.</x:v>
      </x:c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</x:row>
  </x:sheetData>
  <x:mergeCells>
    <x:mergeCell ref="A1:O1"/>
    <x:mergeCell ref="A2:O2"/>
    <x:mergeCell ref="A6:O6"/>
    <x:mergeCell ref="A15:O15"/>
    <x:mergeCell ref="A35:O35"/>
    <x:mergeCell ref="A51:O51"/>
  </x:mergeCells>
  <x:pageMargins left="0.7" right="0.7" top="0.75" bottom="0.75" header="0.3" footer="0.3"/>
</x:worksheet>
</file>