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7a57ed95b744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 anual 2026" sheetId="1" r:id="R40e2ac9d0cf749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 [$€-es-ES];[Red]-#,##0.00 [$€-es-ES]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2"/>
      <x:color rgb="FFFFFFFF"/>
      <x:name val="Carlito"/>
    </x:font>
    <x:font>
      <x:b/>
      <x:sz val="11"/>
      <x:color rgb="FF0F1F3A"/>
      <x:name val="Carlito"/>
    </x:font>
    <x:font>
      <x:sz val="11"/>
      <x:color rgb="FF1F2937"/>
      <x:name val="Carlito"/>
    </x:font>
    <x:font>
      <x:sz val="10"/>
      <x:color rgb="FF1F2937"/>
      <x:name val="Carlito"/>
    </x:font>
    <x:font>
      <x:b/>
      <x:sz val="10"/>
      <x:color rgb="FF0F1F3A"/>
      <x:name val="Carlito"/>
    </x:font>
    <x:font>
      <x:i/>
      <x:sz val="10"/>
      <x:color rgb="FF1F2937"/>
      <x:name val="Carlito"/>
    </x:font>
    <x:font>
      <x:i/>
      <x:sz val="11"/>
      <x:color rgb="FF4B556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1F3A"/>
      </x:patternFill>
    </x:fill>
    <x:fill>
      <x:patternFill patternType="solid">
        <x:fgColor rgb="FF1E5AA8"/>
      </x:patternFill>
    </x:fill>
    <x:fill>
      <x:patternFill patternType="solid">
        <x:fgColor rgb="FFDCEAF7"/>
      </x:patternFill>
    </x:fill>
    <x:fill>
      <x:patternFill patternType="solid">
        <x:fgColor rgb="FFF4F7FB"/>
      </x:patternFill>
    </x:fill>
    <x:fill>
      <x:patternFill patternType="solid">
        <x:fgColor rgb="FFE8F5E9"/>
      </x:patternFill>
    </x:fill>
    <x:fill>
      <x:patternFill patternType="solid">
        <x:fgColor rgb="FFFFF4E5"/>
      </x:patternFill>
    </x:fill>
    <x:fill>
      <x:patternFill patternType="solid">
        <x:fgColor rgb="FFFFF8E1"/>
      </x:patternFill>
    </x:fill>
  </x:fills>
  <x:borders count="2">
    <x:border/>
    <x:border/>
  </x:borders>
  <x:cellStyleXfs count="1">
    <x:xf numFmtId="0" fontId="0" fillId="0" borderId="0"/>
  </x:cellStyleXfs>
  <x:cellXfs count="1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5" fillId="7" borderId="1" xfId="0" applyNumberFormat="1" applyFont="1" applyFill="1" applyBorder="1" applyAlignment="1">
      <x:alignment vertical="center"/>
    </x:xf>
    <x:xf numFmtId="0" fontId="6" fillId="7" borderId="1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vertical="center"/>
    </x:xf>
    <x:xf numFmtId="0" fontId="5" fillId="8" borderId="1" xfId="0" applyNumberFormat="1" applyFont="1" applyFill="1" applyBorder="1" applyAlignment="1">
      <x:alignment vertical="center"/>
    </x:xf>
    <x:xf numFmtId="0" fontId="7" fillId="8" borderId="1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6" fillId="6" borderId="0" xfId="0" applyNumberFormat="1" applyFont="1" applyFill="1" applyBorder="1" applyAlignment="1">
      <x:alignment vertical="center"/>
    </x:xf>
    <x:xf numFmtId="200" fontId="7" fillId="8" borderId="0" xfId="0" applyNumberFormat="1" applyFont="1" applyFill="1" applyBorder="1" applyAlignment="1">
      <x:alignment vertical="center"/>
    </x:xf>
    <x:xf numFmtId="200" fontId="6" fillId="7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2" fillId="3" borderId="0" xfId="0" applyNumberFormat="1" applyFont="1" applyFill="1" applyBorder="1" applyAlignment="1">
      <x:alignment horizontal="left" vertical="center"/>
    </x:xf>
    <x:xf numFmtId="200" fontId="3" fillId="4" borderId="0" xfId="0" applyNumberFormat="1" applyFont="1" applyFill="1" applyBorder="1" applyAlignment="1">
      <x:alignment horizontal="center" vertical="center" wrapText="1"/>
    </x:xf>
    <x:xf numFmtId="200" fontId="5" fillId="0" borderId="1" xfId="0" applyNumberFormat="1" applyFont="1" applyFill="1" applyBorder="1" applyAlignment="1">
      <x:alignment vertical="center"/>
    </x:xf>
    <x:xf numFmtId="200" fontId="6" fillId="6" borderId="1" xfId="0" applyNumberFormat="1" applyFont="1" applyFill="1" applyBorder="1" applyAlignment="1">
      <x:alignment vertical="center"/>
    </x:xf>
    <x:xf numFmtId="200" fontId="7" fillId="8" borderId="1" xfId="0" applyNumberFormat="1" applyFont="1" applyFill="1" applyBorder="1" applyAlignment="1">
      <x:alignment vertical="center"/>
    </x:xf>
    <x:xf numFmtId="200" fontId="6" fillId="7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/>
    <x:xf numFmtId="200" fontId="2" fillId="3" borderId="1" xfId="0" applyNumberFormat="1" applyFont="1" applyFill="1" applyBorder="1" applyAlignment="1">
      <x:alignment horizontal="left" vertical="center"/>
    </x:xf>
    <x:xf numFmtId="200" fontId="3" fillId="4" borderId="1" xfId="0" applyNumberFormat="1" applyFont="1" applyFill="1" applyBorder="1" applyAlignment="1">
      <x:alignment horizontal="center" vertical="center" wrapText="1"/>
    </x:xf>
    <x:xf numFmtId="200" fontId="5" fillId="0" borderId="0" xfId="0" applyNumberFormat="1" applyFont="1" applyFill="1" applyBorder="1" applyAlignment="1">
      <x:alignment horizontal="right" vertical="center"/>
    </x:xf>
    <x:xf numFmtId="200" fontId="6" fillId="6" borderId="0" xfId="0" applyNumberFormat="1" applyFont="1" applyFill="1" applyBorder="1" applyAlignment="1">
      <x:alignment horizontal="right" vertical="center"/>
    </x:xf>
    <x:xf numFmtId="200" fontId="7" fillId="8" borderId="0" xfId="0" applyNumberFormat="1" applyFont="1" applyFill="1" applyBorder="1" applyAlignment="1">
      <x:alignment horizontal="right" vertical="center"/>
    </x:xf>
    <x:xf numFmtId="200" fontId="6" fillId="7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/>
    </x:xf>
    <x:xf numFmtId="200" fontId="2" fillId="3" borderId="0" xfId="0" applyNumberFormat="1" applyFont="1" applyFill="1" applyBorder="1" applyAlignment="1">
      <x:alignment horizontal="right" vertical="center"/>
    </x:xf>
    <x:xf numFmtId="200" fontId="3" fillId="4" borderId="0" xfId="0" applyNumberFormat="1" applyFont="1" applyFill="1" applyBorder="1" applyAlignment="1">
      <x:alignment horizontal="right" vertical="center" wrapText="1"/>
    </x:xf>
    <x:xf numFmtId="200" fontId="5" fillId="0" borderId="1" xfId="0" applyNumberFormat="1" applyFont="1" applyFill="1" applyBorder="1" applyAlignment="1">
      <x:alignment horizontal="right" vertical="center"/>
    </x:xf>
    <x:xf numFmtId="200" fontId="6" fillId="6" borderId="1" xfId="0" applyNumberFormat="1" applyFont="1" applyFill="1" applyBorder="1" applyAlignment="1">
      <x:alignment horizontal="right" vertical="center"/>
    </x:xf>
    <x:xf numFmtId="200" fontId="7" fillId="8" borderId="1" xfId="0" applyNumberFormat="1" applyFont="1" applyFill="1" applyBorder="1" applyAlignment="1">
      <x:alignment horizontal="right" vertical="center"/>
    </x:xf>
    <x:xf numFmtId="200" fontId="6" fillId="7" borderId="1" xfId="0" applyNumberFormat="1" applyFont="1" applyFill="1" applyBorder="1" applyAlignment="1">
      <x:alignment horizontal="right" vertical="center"/>
    </x:xf>
    <x:xf numFmtId="200" fontId="0" fillId="0" borderId="1" xfId="0" applyNumberFormat="1" applyFont="1" applyFill="1" applyBorder="1" applyAlignment="1">
      <x:alignment horizontal="right"/>
    </x:xf>
    <x:xf numFmtId="200" fontId="2" fillId="3" borderId="1" xfId="0" applyNumberFormat="1" applyFont="1" applyFill="1" applyBorder="1" applyAlignment="1">
      <x:alignment horizontal="right" vertical="center"/>
    </x:xf>
    <x:xf numFmtId="200" fontId="3" fillId="4" borderId="1" xfId="0" applyNumberFormat="1" applyFont="1" applyFill="1" applyBorder="1" applyAlignment="1">
      <x:alignment horizontal="right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7" fillId="8" borderId="0" xfId="0" applyNumberFormat="1" applyFont="1" applyFill="1" applyBorder="1" applyAlignment="1">
      <x:alignment horizontal="center" vertic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7" fillId="8" borderId="1" xfId="0" applyNumberFormat="1" applyFont="1" applyFill="1" applyBorder="1" applyAlignment="1">
      <x:alignment horizontal="center" vertical="center"/>
    </x:xf>
    <x:xf numFmtId="0" fontId="6" fillId="7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6" fillId="6" borderId="0" xfId="0" applyNumberFormat="1" applyFont="1" applyFill="1" applyBorder="1" applyAlignment="1">
      <x:alignment horizontal="left" vertical="center" wrapText="1"/>
    </x:xf>
    <x:xf numFmtId="0" fontId="7" fillId="8" borderId="0" xfId="0" applyNumberFormat="1" applyFont="1" applyFill="1" applyBorder="1" applyAlignment="1">
      <x:alignment horizontal="left" vertical="center" wrapText="1"/>
    </x:xf>
    <x:xf numFmtId="0" fontId="6" fillId="7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a304e8bb694e03" /><Relationship Type="http://schemas.openxmlformats.org/officeDocument/2006/relationships/theme" Target="/xl/theme/theme1.xml" Id="Rb62bc9ebd7734740" /><Relationship Type="http://schemas.openxmlformats.org/officeDocument/2006/relationships/sharedStrings" Target="/xl/sharedStrings.xml" Id="R0649df48e1bc47aa" /><Relationship Type="http://schemas.openxmlformats.org/officeDocument/2006/relationships/worksheet" Target="/xl/worksheets/sheet1.xml" Id="R40e2ac9d0cf749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2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5" hidden="0" customWidth="1"/>
  </x:cols>
  <x:sheetData>
    <x:row r="1" ht="34" customHeight="1">
      <x:c r="A1" s="5" t="str">
        <x:v>CAFETERÍA ENERGÍA — PLAN ANUAL 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>
      <x:c r="A2" s="32" t="str">
        <x:v>Empresa</x:v>
      </x:c>
      <x:c r="B2" s="29" t="str">
        <x:v>Cafetería Energía S.L.</x:v>
      </x:c>
      <x:c r="D2" s="32" t="str">
        <x:v>Moneda</x:v>
      </x:c>
      <x:c r="E2" s="29" t="str">
        <x:v>EUR</x:v>
      </x:c>
      <x:c r="G2" s="32" t="str">
        <x:v>Periodicidad</x:v>
      </x:c>
      <x:c r="H2" s="29" t="str">
        <x:v>Mensual</x:v>
      </x:c>
    </x:row>
    <x:row r="3">
      <x:c r="A3" s="32" t="str">
        <x:v>Ejercicio</x:v>
      </x:c>
      <x:c r="B3" s="29" t="str">
        <x:v>2026</x:v>
      </x:c>
      <x:c r="D3" s="32" t="str">
        <x:v>Escenario</x:v>
      </x:c>
      <x:c r="E3" s="29" t="str">
        <x:v>Base</x:v>
      </x:c>
      <x:c r="G3" s="32" t="str">
        <x:v>Documento</x:v>
      </x:c>
      <x:c r="H3" s="29" t="str">
        <x:v>Presupuesto / plan anual</x:v>
      </x:c>
    </x:row>
    <x:row r="5" ht="24" customHeight="1">
      <x:c r="A5" s="13" t="str">
        <x:v>CUENTA DE RESULTADOS (P&amp;L)</x:v>
      </x:c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</x:row>
    <x:row r="6" ht="30" customHeight="1">
      <x:c r="A6" s="22" t="str">
        <x:v>Código</x:v>
      </x:c>
      <x:c r="B6" s="22" t="str">
        <x:v>Concepto</x:v>
      </x:c>
      <x:c r="C6" s="22" t="str">
        <x:v>Naturaleza</x:v>
      </x:c>
      <x:c r="D6" s="22" t="str">
        <x:v>Enero</x:v>
      </x:c>
      <x:c r="E6" s="22" t="str">
        <x:v>Febrero</x:v>
      </x:c>
      <x:c r="F6" s="22" t="str">
        <x:v>Marzo</x:v>
      </x:c>
      <x:c r="G6" s="22" t="str">
        <x:v>Abril</x:v>
      </x:c>
      <x:c r="H6" s="22" t="str">
        <x:v>Mayo</x:v>
      </x:c>
      <x:c r="I6" s="22" t="str">
        <x:v>Junio</x:v>
      </x:c>
      <x:c r="J6" s="22" t="str">
        <x:v>Julio</x:v>
      </x:c>
      <x:c r="K6" s="22" t="str">
        <x:v>Agosto</x:v>
      </x:c>
      <x:c r="L6" s="22" t="str">
        <x:v>Septiembre</x:v>
      </x:c>
      <x:c r="M6" s="22" t="str">
        <x:v>Octubre</x:v>
      </x:c>
      <x:c r="N6" s="22" t="str">
        <x:v>Noviembre</x:v>
      </x:c>
      <x:c r="O6" s="22" t="str">
        <x:v>Diciembre</x:v>
      </x:c>
      <x:c r="P6" s="22" t="str">
        <x:v>Total anual</x:v>
      </x:c>
    </x:row>
    <x:row r="7">
      <x:c r="A7" s="94" t="str">
        <x:v>700.1</x:v>
      </x:c>
      <x:c r="B7" s="118" t="str">
        <x:v>Ventas de café y bebidas calientes</x:v>
      </x:c>
      <x:c r="C7" s="106" t="str">
        <x:v>REVENUE</x:v>
      </x:c>
      <x:c r="D7" s="64" t="n">
        <x:v>21000</x:v>
      </x:c>
      <x:c r="E7" s="64" t="n">
        <x:v>22000</x:v>
      </x:c>
      <x:c r="F7" s="64" t="n">
        <x:v>24000</x:v>
      </x:c>
      <x:c r="G7" s="64" t="n">
        <x:v>23500</x:v>
      </x:c>
      <x:c r="H7" s="64" t="n">
        <x:v>25000</x:v>
      </x:c>
      <x:c r="I7" s="64" t="n">
        <x:v>26000</x:v>
      </x:c>
      <x:c r="J7" s="64" t="n">
        <x:v>24500</x:v>
      </x:c>
      <x:c r="K7" s="64" t="n">
        <x:v>18000</x:v>
      </x:c>
      <x:c r="L7" s="64" t="n">
        <x:v>27000</x:v>
      </x:c>
      <x:c r="M7" s="64" t="n">
        <x:v>29000</x:v>
      </x:c>
      <x:c r="N7" s="64" t="n">
        <x:v>30000</x:v>
      </x:c>
      <x:c r="O7" s="64" t="n">
        <x:v>34000</x:v>
      </x:c>
      <x:c r="P7" s="64" t="n">
        <x:f>SUM(D7:O7)</x:f>
        <x:v>304000</x:v>
      </x:c>
    </x:row>
    <x:row r="8">
      <x:c r="A8" s="94" t="str">
        <x:v>700.2</x:v>
      </x:c>
      <x:c r="B8" s="118" t="str">
        <x:v>Bollería, desayunos y menús</x:v>
      </x:c>
      <x:c r="C8" s="106" t="str">
        <x:v>REVENUE</x:v>
      </x:c>
      <x:c r="D8" s="64" t="n">
        <x:v>9000</x:v>
      </x:c>
      <x:c r="E8" s="64" t="n">
        <x:v>9500</x:v>
      </x:c>
      <x:c r="F8" s="64" t="n">
        <x:v>10000</x:v>
      </x:c>
      <x:c r="G8" s="64" t="n">
        <x:v>9800</x:v>
      </x:c>
      <x:c r="H8" s="64" t="n">
        <x:v>10500</x:v>
      </x:c>
      <x:c r="I8" s="64" t="n">
        <x:v>11000</x:v>
      </x:c>
      <x:c r="J8" s="64" t="n">
        <x:v>10200</x:v>
      </x:c>
      <x:c r="K8" s="64" t="n">
        <x:v>7500</x:v>
      </x:c>
      <x:c r="L8" s="64" t="n">
        <x:v>11200</x:v>
      </x:c>
      <x:c r="M8" s="64" t="n">
        <x:v>12000</x:v>
      </x:c>
      <x:c r="N8" s="64" t="n">
        <x:v>12500</x:v>
      </x:c>
      <x:c r="O8" s="64" t="n">
        <x:v>15000</x:v>
      </x:c>
      <x:c r="P8" s="64" t="n">
        <x:f>SUM(D8:O8)</x:f>
        <x:v>128200</x:v>
      </x:c>
    </x:row>
    <x:row r="9">
      <x:c r="A9" s="94" t="str">
        <x:v>705</x:v>
      </x:c>
      <x:c r="B9" s="118" t="str">
        <x:v>Delivery y eventos corporativos</x:v>
      </x:c>
      <x:c r="C9" s="106" t="str">
        <x:v>REVENUE</x:v>
      </x:c>
      <x:c r="D9" s="64" t="n">
        <x:v>2200</x:v>
      </x:c>
      <x:c r="E9" s="64" t="n">
        <x:v>2400</x:v>
      </x:c>
      <x:c r="F9" s="64" t="n">
        <x:v>3000</x:v>
      </x:c>
      <x:c r="G9" s="64" t="n">
        <x:v>2800</x:v>
      </x:c>
      <x:c r="H9" s="64" t="n">
        <x:v>3500</x:v>
      </x:c>
      <x:c r="I9" s="64" t="n">
        <x:v>4500</x:v>
      </x:c>
      <x:c r="J9" s="64" t="n">
        <x:v>3200</x:v>
      </x:c>
      <x:c r="K9" s="64" t="n">
        <x:v>1500</x:v>
      </x:c>
      <x:c r="L9" s="64" t="n">
        <x:v>4200</x:v>
      </x:c>
      <x:c r="M9" s="64" t="n">
        <x:v>5200</x:v>
      </x:c>
      <x:c r="N9" s="64" t="n">
        <x:v>6000</x:v>
      </x:c>
      <x:c r="O9" s="64" t="n">
        <x:v>8500</x:v>
      </x:c>
      <x:c r="P9" s="64" t="n">
        <x:f>SUM(D9:O9)</x:f>
        <x:v>47000</x:v>
      </x:c>
    </x:row>
    <x:row r="10">
      <x:c r="A10" s="94" t="str">
        <x:v>740</x:v>
      </x:c>
      <x:c r="B10" s="118" t="str">
        <x:v>Subvención para modernización digital</x:v>
      </x:c>
      <x:c r="C10" s="106" t="str">
        <x:v>OTHER_OPERATING_INCOME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64" t="n">
        <x:v>0</x:v>
      </x:c>
      <x:c r="I10" s="64" t="n">
        <x:v>0</x:v>
      </x:c>
      <x:c r="J10" s="64" t="n">
        <x:v>0</x:v>
      </x:c>
      <x:c r="K10" s="64" t="n">
        <x:v>0</x:v>
      </x:c>
      <x:c r="L10" s="64" t="n">
        <x:v>12000</x:v>
      </x:c>
      <x:c r="M10" s="64" t="n">
        <x:v>0</x:v>
      </x:c>
      <x:c r="N10" s="64" t="n">
        <x:v>0</x:v>
      </x:c>
      <x:c r="O10" s="64" t="n">
        <x:v>0</x:v>
      </x:c>
      <x:c r="P10" s="64" t="n">
        <x:f>SUM(D10:O10)</x:f>
        <x:v>12000</x:v>
      </x:c>
    </x:row>
    <x:row r="11">
      <x:c r="A11" s="95" t="str"/>
      <x:c r="B11" s="119" t="str">
        <x:v>TOTAL INGRESOS</x:v>
      </x:c>
      <x:c r="C11" s="107" t="str">
        <x:v>SUBTOTAL_REVENUE</x:v>
      </x:c>
      <x:c r="D11" s="65" t="n">
        <x:f>SUM(D7:D10)</x:f>
        <x:v>32200</x:v>
      </x:c>
      <x:c r="E11" s="65" t="n">
        <x:f>SUM(E7:E10)</x:f>
        <x:v>33900</x:v>
      </x:c>
      <x:c r="F11" s="65" t="n">
        <x:f>SUM(F7:F10)</x:f>
        <x:v>37000</x:v>
      </x:c>
      <x:c r="G11" s="65" t="n">
        <x:f>SUM(G7:G10)</x:f>
        <x:v>36100</x:v>
      </x:c>
      <x:c r="H11" s="65" t="n">
        <x:f>SUM(H7:H10)</x:f>
        <x:v>39000</x:v>
      </x:c>
      <x:c r="I11" s="65" t="n">
        <x:f>SUM(I7:I10)</x:f>
        <x:v>41500</x:v>
      </x:c>
      <x:c r="J11" s="65" t="n">
        <x:f>SUM(J7:J10)</x:f>
        <x:v>37900</x:v>
      </x:c>
      <x:c r="K11" s="65" t="n">
        <x:f>SUM(K7:K10)</x:f>
        <x:v>27000</x:v>
      </x:c>
      <x:c r="L11" s="65" t="n">
        <x:f>SUM(L7:L10)</x:f>
        <x:v>54400</x:v>
      </x:c>
      <x:c r="M11" s="65" t="n">
        <x:f>SUM(M7:M10)</x:f>
        <x:v>46200</x:v>
      </x:c>
      <x:c r="N11" s="65" t="n">
        <x:f>SUM(N7:N10)</x:f>
        <x:v>48500</x:v>
      </x:c>
      <x:c r="O11" s="65" t="n">
        <x:f>SUM(O7:O10)</x:f>
        <x:v>57500</x:v>
      </x:c>
      <x:c r="P11" s="65" t="n">
        <x:f>SUM(D11:O11)</x:f>
        <x:v>491200</x:v>
      </x:c>
    </x:row>
    <x:row r="12">
      <x:c r="A12" s="96" t="str">
        <x:v>610-710</x:v>
      </x:c>
      <x:c r="B12" s="120" t="str">
        <x:v>Variación de existencias</x:v>
      </x:c>
      <x:c r="C12" s="108" t="str">
        <x:v>OPERATING_ADJUSTMENT</x:v>
      </x:c>
      <x:c r="D12" s="66" t="n">
        <x:v>0</x:v>
      </x:c>
      <x:c r="E12" s="66" t="n">
        <x:v>0</x:v>
      </x:c>
      <x:c r="F12" s="66" t="n">
        <x:v>-1800</x:v>
      </x:c>
      <x:c r="G12" s="66" t="n">
        <x:v>0</x:v>
      </x:c>
      <x:c r="H12" s="66" t="n">
        <x:v>0</x:v>
      </x:c>
      <x:c r="I12" s="66" t="n">
        <x:v>0</x:v>
      </x:c>
      <x:c r="J12" s="66" t="n">
        <x:v>0</x:v>
      </x:c>
      <x:c r="K12" s="66" t="n">
        <x:v>0</x:v>
      </x:c>
      <x:c r="L12" s="66" t="n">
        <x:v>0</x:v>
      </x:c>
      <x:c r="M12" s="66" t="n">
        <x:v>0</x:v>
      </x:c>
      <x:c r="N12" s="66" t="n">
        <x:v>0</x:v>
      </x:c>
      <x:c r="O12" s="66" t="n">
        <x:v>2500</x:v>
      </x:c>
      <x:c r="P12" s="66" t="n">
        <x:f>SUM(D12:O12)</x:f>
        <x:v>700</x:v>
      </x:c>
    </x:row>
    <x:row r="13">
      <x:c r="A13" s="94" t="str">
        <x:v>600.1</x:v>
      </x:c>
      <x:c r="B13" s="118" t="str">
        <x:v>Compras de café, leche y bebidas</x:v>
      </x:c>
      <x:c r="C13" s="106" t="str">
        <x:v>OPEX</x:v>
      </x:c>
      <x:c r="D13" s="64" t="n">
        <x:v>7000</x:v>
      </x:c>
      <x:c r="E13" s="64" t="n">
        <x:v>7200</x:v>
      </x:c>
      <x:c r="F13" s="64" t="n">
        <x:v>7900</x:v>
      </x:c>
      <x:c r="G13" s="64" t="n">
        <x:v>7600</x:v>
      </x:c>
      <x:c r="H13" s="64" t="n">
        <x:v>8200</x:v>
      </x:c>
      <x:c r="I13" s="64" t="n">
        <x:v>8500</x:v>
      </x:c>
      <x:c r="J13" s="64" t="n">
        <x:v>8000</x:v>
      </x:c>
      <x:c r="K13" s="64" t="n">
        <x:v>5900</x:v>
      </x:c>
      <x:c r="L13" s="64" t="n">
        <x:v>8700</x:v>
      </x:c>
      <x:c r="M13" s="64" t="n">
        <x:v>9300</x:v>
      </x:c>
      <x:c r="N13" s="64" t="n">
        <x:v>9800</x:v>
      </x:c>
      <x:c r="O13" s="64" t="n">
        <x:v>11300</x:v>
      </x:c>
      <x:c r="P13" s="64" t="n">
        <x:f>SUM(D13:O13)</x:f>
        <x:v>99400</x:v>
      </x:c>
    </x:row>
    <x:row r="14">
      <x:c r="A14" s="94" t="str">
        <x:v>601</x:v>
      </x:c>
      <x:c r="B14" s="118" t="str">
        <x:v>Compras de bollería y alimentos</x:v>
      </x:c>
      <x:c r="C14" s="106" t="str">
        <x:v>OPEX</x:v>
      </x:c>
      <x:c r="D14" s="64" t="n">
        <x:v>3200</x:v>
      </x:c>
      <x:c r="E14" s="64" t="n">
        <x:v>3300</x:v>
      </x:c>
      <x:c r="F14" s="64" t="n">
        <x:v>3500</x:v>
      </x:c>
      <x:c r="G14" s="64" t="n">
        <x:v>3400</x:v>
      </x:c>
      <x:c r="H14" s="64" t="n">
        <x:v>3600</x:v>
      </x:c>
      <x:c r="I14" s="64" t="n">
        <x:v>3800</x:v>
      </x:c>
      <x:c r="J14" s="64" t="n">
        <x:v>3500</x:v>
      </x:c>
      <x:c r="K14" s="64" t="n">
        <x:v>2600</x:v>
      </x:c>
      <x:c r="L14" s="64" t="n">
        <x:v>3900</x:v>
      </x:c>
      <x:c r="M14" s="64" t="n">
        <x:v>4100</x:v>
      </x:c>
      <x:c r="N14" s="64" t="n">
        <x:v>4300</x:v>
      </x:c>
      <x:c r="O14" s="64" t="n">
        <x:v>5200</x:v>
      </x:c>
      <x:c r="P14" s="64" t="n">
        <x:f>SUM(D14:O14)</x:f>
        <x:v>44400</x:v>
      </x:c>
    </x:row>
    <x:row r="15">
      <x:c r="A15" s="94" t="str">
        <x:v>640</x:v>
      </x:c>
      <x:c r="B15" s="118" t="str">
        <x:v>Sueldos y Seguridad Social</x:v>
      </x:c>
      <x:c r="C15" s="106" t="str">
        <x:v>OPEX</x:v>
      </x:c>
      <x:c r="D15" s="64" t="n">
        <x:v>12500</x:v>
      </x:c>
      <x:c r="E15" s="64" t="n">
        <x:v>12500</x:v>
      </x:c>
      <x:c r="F15" s="64" t="n">
        <x:v>12500</x:v>
      </x:c>
      <x:c r="G15" s="64" t="n">
        <x:v>12500</x:v>
      </x:c>
      <x:c r="H15" s="64" t="n">
        <x:v>12500</x:v>
      </x:c>
      <x:c r="I15" s="64" t="n">
        <x:v>14500</x:v>
      </x:c>
      <x:c r="J15" s="64" t="n">
        <x:v>12500</x:v>
      </x:c>
      <x:c r="K15" s="64" t="n">
        <x:v>12500</x:v>
      </x:c>
      <x:c r="L15" s="64" t="n">
        <x:v>12500</x:v>
      </x:c>
      <x:c r="M15" s="64" t="n">
        <x:v>12500</x:v>
      </x:c>
      <x:c r="N15" s="64" t="n">
        <x:v>12500</x:v>
      </x:c>
      <x:c r="O15" s="64" t="n">
        <x:v>14500</x:v>
      </x:c>
      <x:c r="P15" s="64" t="n">
        <x:f>SUM(D15:O15)</x:f>
        <x:v>154000</x:v>
      </x:c>
    </x:row>
    <x:row r="16">
      <x:c r="A16" s="94" t="str">
        <x:v>621</x:v>
      </x:c>
      <x:c r="B16" s="118" t="str">
        <x:v>Alquiler y comunidad</x:v>
      </x:c>
      <x:c r="C16" s="106" t="str">
        <x:v>OPEX</x:v>
      </x:c>
      <x:c r="D16" s="64" t="n">
        <x:v>3000</x:v>
      </x:c>
      <x:c r="E16" s="64" t="n">
        <x:v>3000</x:v>
      </x:c>
      <x:c r="F16" s="64" t="n">
        <x:v>3000</x:v>
      </x:c>
      <x:c r="G16" s="64" t="n">
        <x:v>3000</x:v>
      </x:c>
      <x:c r="H16" s="64" t="n">
        <x:v>3000</x:v>
      </x:c>
      <x:c r="I16" s="64" t="n">
        <x:v>3000</x:v>
      </x:c>
      <x:c r="J16" s="64" t="n">
        <x:v>3000</x:v>
      </x:c>
      <x:c r="K16" s="64" t="n">
        <x:v>3000</x:v>
      </x:c>
      <x:c r="L16" s="64" t="n">
        <x:v>3000</x:v>
      </x:c>
      <x:c r="M16" s="64" t="n">
        <x:v>3000</x:v>
      </x:c>
      <x:c r="N16" s="64" t="n">
        <x:v>3000</x:v>
      </x:c>
      <x:c r="O16" s="64" t="n">
        <x:v>3000</x:v>
      </x:c>
      <x:c r="P16" s="64" t="n">
        <x:f>SUM(D16:O16)</x:f>
        <x:v>36000</x:v>
      </x:c>
    </x:row>
    <x:row r="17">
      <x:c r="A17" s="94" t="str">
        <x:v>628</x:v>
      </x:c>
      <x:c r="B17" s="118" t="str">
        <x:v>Suministros: luz, agua y gas</x:v>
      </x:c>
      <x:c r="C17" s="106" t="str">
        <x:v>OPEX</x:v>
      </x:c>
      <x:c r="D17" s="64" t="n">
        <x:v>1200</x:v>
      </x:c>
      <x:c r="E17" s="64" t="n">
        <x:v>1100</x:v>
      </x:c>
      <x:c r="F17" s="64" t="n">
        <x:v>1050</x:v>
      </x:c>
      <x:c r="G17" s="64" t="n">
        <x:v>1000</x:v>
      </x:c>
      <x:c r="H17" s="64" t="n">
        <x:v>950</x:v>
      </x:c>
      <x:c r="I17" s="64" t="n">
        <x:v>1100</x:v>
      </x:c>
      <x:c r="J17" s="64" t="n">
        <x:v>1400</x:v>
      </x:c>
      <x:c r="K17" s="64" t="n">
        <x:v>1600</x:v>
      </x:c>
      <x:c r="L17" s="64" t="n">
        <x:v>1150</x:v>
      </x:c>
      <x:c r="M17" s="64" t="n">
        <x:v>1050</x:v>
      </x:c>
      <x:c r="N17" s="64" t="n">
        <x:v>1200</x:v>
      </x:c>
      <x:c r="O17" s="64" t="n">
        <x:v>1500</x:v>
      </x:c>
      <x:c r="P17" s="64" t="n">
        <x:f>SUM(D17:O17)</x:f>
        <x:v>14300</x:v>
      </x:c>
    </x:row>
    <x:row r="18">
      <x:c r="A18" s="94" t="str">
        <x:v>623</x:v>
      </x:c>
      <x:c r="B18" s="118" t="str">
        <x:v>Marketing y comisiones de delivery</x:v>
      </x:c>
      <x:c r="C18" s="106" t="str">
        <x:v>OPEX</x:v>
      </x:c>
      <x:c r="D18" s="64" t="n">
        <x:v>500</x:v>
      </x:c>
      <x:c r="E18" s="64" t="n">
        <x:v>550</x:v>
      </x:c>
      <x:c r="F18" s="64" t="n">
        <x:v>650</x:v>
      </x:c>
      <x:c r="G18" s="64" t="n">
        <x:v>600</x:v>
      </x:c>
      <x:c r="H18" s="64" t="n">
        <x:v>700</x:v>
      </x:c>
      <x:c r="I18" s="64" t="n">
        <x:v>900</x:v>
      </x:c>
      <x:c r="J18" s="64" t="n">
        <x:v>650</x:v>
      </x:c>
      <x:c r="K18" s="64" t="n">
        <x:v>350</x:v>
      </x:c>
      <x:c r="L18" s="64" t="n">
        <x:v>800</x:v>
      </x:c>
      <x:c r="M18" s="64" t="n">
        <x:v>950</x:v>
      </x:c>
      <x:c r="N18" s="64" t="n">
        <x:v>1100</x:v>
      </x:c>
      <x:c r="O18" s="64" t="n">
        <x:v>1500</x:v>
      </x:c>
      <x:c r="P18" s="64" t="n">
        <x:f>SUM(D18:O18)</x:f>
        <x:v>9250</x:v>
      </x:c>
    </x:row>
    <x:row r="19">
      <x:c r="A19" s="94" t="str">
        <x:v>622</x:v>
      </x:c>
      <x:c r="B19" s="118" t="str">
        <x:v>Reparaciones y pequeños gastos</x:v>
      </x:c>
      <x:c r="C19" s="106" t="str">
        <x:v>OPEX</x:v>
      </x:c>
      <x:c r="D19" s="64" t="n">
        <x:v>600</x:v>
      </x:c>
      <x:c r="E19" s="64" t="n">
        <x:v>400</x:v>
      </x:c>
      <x:c r="F19" s="64" t="n">
        <x:v>500</x:v>
      </x:c>
      <x:c r="G19" s="64" t="n">
        <x:v>800</x:v>
      </x:c>
      <x:c r="H19" s="64" t="n">
        <x:v>350</x:v>
      </x:c>
      <x:c r="I19" s="64" t="n">
        <x:v>900</x:v>
      </x:c>
      <x:c r="J19" s="64" t="n">
        <x:v>700</x:v>
      </x:c>
      <x:c r="K19" s="64" t="n">
        <x:v>1200</x:v>
      </x:c>
      <x:c r="L19" s="64" t="n">
        <x:v>450</x:v>
      </x:c>
      <x:c r="M19" s="64" t="n">
        <x:v>600</x:v>
      </x:c>
      <x:c r="N19" s="64" t="n">
        <x:v>550</x:v>
      </x:c>
      <x:c r="O19" s="64" t="n">
        <x:v>1000</x:v>
      </x:c>
      <x:c r="P19" s="64" t="n">
        <x:f>SUM(D19:O19)</x:f>
        <x:v>8050</x:v>
      </x:c>
    </x:row>
    <x:row r="20">
      <x:c r="A20" s="97" t="str"/>
      <x:c r="B20" s="121" t="str">
        <x:v>TOTAL GASTOS OPERATIVOS</x:v>
      </x:c>
      <x:c r="C20" s="109" t="str">
        <x:v>SUBTOTAL_OPEX</x:v>
      </x:c>
      <x:c r="D20" s="67" t="n">
        <x:f>SUM(D13:D19)</x:f>
        <x:v>28000</x:v>
      </x:c>
      <x:c r="E20" s="67" t="n">
        <x:f>SUM(E13:E19)</x:f>
        <x:v>28050</x:v>
      </x:c>
      <x:c r="F20" s="67" t="n">
        <x:f>SUM(F13:F19)</x:f>
        <x:v>29100</x:v>
      </x:c>
      <x:c r="G20" s="67" t="n">
        <x:f>SUM(G13:G19)</x:f>
        <x:v>28900</x:v>
      </x:c>
      <x:c r="H20" s="67" t="n">
        <x:f>SUM(H13:H19)</x:f>
        <x:v>29300</x:v>
      </x:c>
      <x:c r="I20" s="67" t="n">
        <x:f>SUM(I13:I19)</x:f>
        <x:v>32700</x:v>
      </x:c>
      <x:c r="J20" s="67" t="n">
        <x:f>SUM(J13:J19)</x:f>
        <x:v>29750</x:v>
      </x:c>
      <x:c r="K20" s="67" t="n">
        <x:f>SUM(K13:K19)</x:f>
        <x:v>27150</x:v>
      </x:c>
      <x:c r="L20" s="67" t="n">
        <x:f>SUM(L13:L19)</x:f>
        <x:v>30500</x:v>
      </x:c>
      <x:c r="M20" s="67" t="n">
        <x:f>SUM(M13:M19)</x:f>
        <x:v>31500</x:v>
      </x:c>
      <x:c r="N20" s="67" t="n">
        <x:f>SUM(N13:N19)</x:f>
        <x:v>32450</x:v>
      </x:c>
      <x:c r="O20" s="67" t="n">
        <x:f>SUM(O13:O19)</x:f>
        <x:v>38000</x:v>
      </x:c>
      <x:c r="P20" s="67" t="n">
        <x:f>SUM(D20:O20)</x:f>
        <x:v>365400</x:v>
      </x:c>
    </x:row>
    <x:row r="21">
      <x:c r="A21" s="95" t="str"/>
      <x:c r="B21" s="119" t="str">
        <x:v>EBITDA</x:v>
      </x:c>
      <x:c r="C21" s="107" t="str">
        <x:v>DERIVED_KPI</x:v>
      </x:c>
      <x:c r="D21" s="65" t="n">
        <x:f>D11+D12-D20</x:f>
        <x:v>4200</x:v>
      </x:c>
      <x:c r="E21" s="65" t="n">
        <x:f>E11+E12-E20</x:f>
        <x:v>5850</x:v>
      </x:c>
      <x:c r="F21" s="65" t="n">
        <x:f>F11+F12-F20</x:f>
        <x:v>6100</x:v>
      </x:c>
      <x:c r="G21" s="65" t="n">
        <x:f>G11+G12-G20</x:f>
        <x:v>7200</x:v>
      </x:c>
      <x:c r="H21" s="65" t="n">
        <x:f>H11+H12-H20</x:f>
        <x:v>9700</x:v>
      </x:c>
      <x:c r="I21" s="65" t="n">
        <x:f>I11+I12-I20</x:f>
        <x:v>8800</x:v>
      </x:c>
      <x:c r="J21" s="65" t="n">
        <x:f>J11+J12-J20</x:f>
        <x:v>8150</x:v>
      </x:c>
      <x:c r="K21" s="65" t="n">
        <x:f>K11+K12-K20</x:f>
        <x:v>-150</x:v>
      </x:c>
      <x:c r="L21" s="65" t="n">
        <x:f>L11+L12-L20</x:f>
        <x:v>23900</x:v>
      </x:c>
      <x:c r="M21" s="65" t="n">
        <x:f>M11+M12-M20</x:f>
        <x:v>14700</x:v>
      </x:c>
      <x:c r="N21" s="65" t="n">
        <x:f>N11+N12-N20</x:f>
        <x:v>16050</x:v>
      </x:c>
      <x:c r="O21" s="65" t="n">
        <x:f>O11+O12-O20</x:f>
        <x:v>22000</x:v>
      </x:c>
      <x:c r="P21" s="65" t="n">
        <x:f>SUM(D21:O21)</x:f>
        <x:v>126500</x:v>
      </x:c>
    </x:row>
    <x:row r="22">
      <x:c r="A22" s="94" t="str">
        <x:v>681</x:v>
      </x:c>
      <x:c r="B22" s="118" t="str">
        <x:v>Amortización de cafetera, mobiliario y TPV</x:v>
      </x:c>
      <x:c r="C22" s="106" t="str">
        <x:v>DEPRECIATION_AMORTIZATION</x:v>
      </x:c>
      <x:c r="D22" s="64" t="n">
        <x:v>900</x:v>
      </x:c>
      <x:c r="E22" s="64" t="n">
        <x:v>900</x:v>
      </x:c>
      <x:c r="F22" s="64" t="n">
        <x:v>900</x:v>
      </x:c>
      <x:c r="G22" s="64" t="n">
        <x:v>900</x:v>
      </x:c>
      <x:c r="H22" s="64" t="n">
        <x:v>900</x:v>
      </x:c>
      <x:c r="I22" s="64" t="n">
        <x:v>900</x:v>
      </x:c>
      <x:c r="J22" s="64" t="n">
        <x:v>900</x:v>
      </x:c>
      <x:c r="K22" s="64" t="n">
        <x:v>900</x:v>
      </x:c>
      <x:c r="L22" s="64" t="n">
        <x:v>900</x:v>
      </x:c>
      <x:c r="M22" s="64" t="n">
        <x:v>900</x:v>
      </x:c>
      <x:c r="N22" s="64" t="n">
        <x:v>900</x:v>
      </x:c>
      <x:c r="O22" s="64" t="n">
        <x:v>900</x:v>
      </x:c>
      <x:c r="P22" s="64" t="n">
        <x:f>SUM(D22:O22)</x:f>
        <x:v>10800</x:v>
      </x:c>
    </x:row>
    <x:row r="23">
      <x:c r="A23" s="95" t="str"/>
      <x:c r="B23" s="119" t="str">
        <x:v>RESULTADO OPERATIVO (EBIT)</x:v>
      </x:c>
      <x:c r="C23" s="107" t="str">
        <x:v>DERIVED_KPI</x:v>
      </x:c>
      <x:c r="D23" s="65" t="n">
        <x:f>D21-D22</x:f>
        <x:v>3300</x:v>
      </x:c>
      <x:c r="E23" s="65" t="n">
        <x:f>E21-E22</x:f>
        <x:v>4950</x:v>
      </x:c>
      <x:c r="F23" s="65" t="n">
        <x:f>F21-F22</x:f>
        <x:v>5200</x:v>
      </x:c>
      <x:c r="G23" s="65" t="n">
        <x:f>G21-G22</x:f>
        <x:v>6300</x:v>
      </x:c>
      <x:c r="H23" s="65" t="n">
        <x:f>H21-H22</x:f>
        <x:v>8800</x:v>
      </x:c>
      <x:c r="I23" s="65" t="n">
        <x:f>I21-I22</x:f>
        <x:v>7900</x:v>
      </x:c>
      <x:c r="J23" s="65" t="n">
        <x:f>J21-J22</x:f>
        <x:v>7250</x:v>
      </x:c>
      <x:c r="K23" s="65" t="n">
        <x:f>K21-K22</x:f>
        <x:v>-1050</x:v>
      </x:c>
      <x:c r="L23" s="65" t="n">
        <x:f>L21-L22</x:f>
        <x:v>23000</x:v>
      </x:c>
      <x:c r="M23" s="65" t="n">
        <x:f>M21-M22</x:f>
        <x:v>13800</x:v>
      </x:c>
      <x:c r="N23" s="65" t="n">
        <x:f>N21-N22</x:f>
        <x:v>15150</x:v>
      </x:c>
      <x:c r="O23" s="65" t="n">
        <x:f>O21-O22</x:f>
        <x:v>21100</x:v>
      </x:c>
      <x:c r="P23" s="65" t="n">
        <x:f>SUM(D23:O23)</x:f>
        <x:v>115700</x:v>
      </x:c>
    </x:row>
    <x:row r="24">
      <x:c r="A24" s="94" t="str">
        <x:v>662</x:v>
      </x:c>
      <x:c r="B24" s="118" t="str">
        <x:v>Intereses del préstamo de reforma</x:v>
      </x:c>
      <x:c r="C24" s="106" t="str">
        <x:v>FINANCIAL_EXPENSE</x:v>
      </x:c>
      <x:c r="D24" s="64" t="n">
        <x:v>200</x:v>
      </x:c>
      <x:c r="E24" s="64" t="n">
        <x:v>200</x:v>
      </x:c>
      <x:c r="F24" s="64" t="n">
        <x:v>200</x:v>
      </x:c>
      <x:c r="G24" s="64" t="n">
        <x:v>200</x:v>
      </x:c>
      <x:c r="H24" s="64" t="n">
        <x:v>200</x:v>
      </x:c>
      <x:c r="I24" s="64" t="n">
        <x:v>200</x:v>
      </x:c>
      <x:c r="J24" s="64" t="n">
        <x:v>200</x:v>
      </x:c>
      <x:c r="K24" s="64" t="n">
        <x:v>200</x:v>
      </x:c>
      <x:c r="L24" s="64" t="n">
        <x:v>200</x:v>
      </x:c>
      <x:c r="M24" s="64" t="n">
        <x:v>200</x:v>
      </x:c>
      <x:c r="N24" s="64" t="n">
        <x:v>200</x:v>
      </x:c>
      <x:c r="O24" s="64" t="n">
        <x:v>200</x:v>
      </x:c>
      <x:c r="P24" s="64" t="n">
        <x:f>SUM(D24:O24)</x:f>
        <x:v>2400</x:v>
      </x:c>
    </x:row>
    <x:row r="25">
      <x:c r="A25" s="95" t="str"/>
      <x:c r="B25" s="119" t="str">
        <x:v>RESULTADO NETO</x:v>
      </x:c>
      <x:c r="C25" s="107" t="str">
        <x:v>TOTAL_NET_RESULT</x:v>
      </x:c>
      <x:c r="D25" s="65" t="n">
        <x:f>D23-D24</x:f>
        <x:v>3100</x:v>
      </x:c>
      <x:c r="E25" s="65" t="n">
        <x:f>E23-E24</x:f>
        <x:v>4750</x:v>
      </x:c>
      <x:c r="F25" s="65" t="n">
        <x:f>F23-F24</x:f>
        <x:v>5000</x:v>
      </x:c>
      <x:c r="G25" s="65" t="n">
        <x:f>G23-G24</x:f>
        <x:v>6100</x:v>
      </x:c>
      <x:c r="H25" s="65" t="n">
        <x:f>H23-H24</x:f>
        <x:v>8600</x:v>
      </x:c>
      <x:c r="I25" s="65" t="n">
        <x:f>I23-I24</x:f>
        <x:v>7700</x:v>
      </x:c>
      <x:c r="J25" s="65" t="n">
        <x:f>J23-J24</x:f>
        <x:v>7050</x:v>
      </x:c>
      <x:c r="K25" s="65" t="n">
        <x:f>K23-K24</x:f>
        <x:v>-1250</x:v>
      </x:c>
      <x:c r="L25" s="65" t="n">
        <x:f>L23-L24</x:f>
        <x:v>22800</x:v>
      </x:c>
      <x:c r="M25" s="65" t="n">
        <x:f>M23-M24</x:f>
        <x:v>13600</x:v>
      </x:c>
      <x:c r="N25" s="65" t="n">
        <x:f>N23-N24</x:f>
        <x:v>14950</x:v>
      </x:c>
      <x:c r="O25" s="65" t="n">
        <x:f>O23-O24</x:f>
        <x:v>20900</x:v>
      </x:c>
      <x:c r="P25" s="65" t="n">
        <x:f>SUM(D25:O25)</x:f>
        <x:v>113300</x:v>
      </x:c>
    </x:row>
    <x:row r="26">
      <x:c r="A26" s="98"/>
      <x:c r="B26" s="122"/>
      <x:c r="C26" s="110"/>
      <x:c r="D26" s="68"/>
      <x:c r="E26" s="68"/>
      <x:c r="F26" s="68"/>
      <x:c r="G26" s="68"/>
      <x:c r="H26" s="68"/>
      <x:c r="I26" s="68"/>
      <x:c r="J26" s="68"/>
      <x:c r="K26" s="68"/>
      <x:c r="L26" s="68"/>
      <x:c r="M26" s="68"/>
      <x:c r="N26" s="68"/>
      <x:c r="O26" s="68"/>
      <x:c r="P26" s="68"/>
    </x:row>
    <x:row r="27" ht="24" customHeight="1">
      <x:c r="A27" s="99" t="str">
        <x:v>TESORERÍA</x:v>
      </x:c>
      <x:c r="B27" s="83"/>
      <x:c r="C27" s="111"/>
      <x:c r="D27" s="69"/>
      <x:c r="E27" s="69"/>
      <x:c r="F27" s="69"/>
      <x:c r="G27" s="69"/>
      <x:c r="H27" s="69"/>
      <x:c r="I27" s="69"/>
      <x:c r="J27" s="69"/>
      <x:c r="K27" s="69"/>
      <x:c r="L27" s="69"/>
      <x:c r="M27" s="69"/>
      <x:c r="N27" s="69"/>
      <x:c r="O27" s="69"/>
      <x:c r="P27" s="69"/>
    </x:row>
    <x:row r="28" ht="30" customHeight="1">
      <x:c r="A28" s="22" t="str">
        <x:v>Código</x:v>
      </x:c>
      <x:c r="B28" s="123" t="str">
        <x:v>Concepto</x:v>
      </x:c>
      <x:c r="C28" s="22" t="str">
        <x:v>Naturaleza</x:v>
      </x:c>
      <x:c r="D28" s="70" t="str">
        <x:v>Enero</x:v>
      </x:c>
      <x:c r="E28" s="70" t="str">
        <x:v>Febrero</x:v>
      </x:c>
      <x:c r="F28" s="70" t="str">
        <x:v>Marzo</x:v>
      </x:c>
      <x:c r="G28" s="70" t="str">
        <x:v>Abril</x:v>
      </x:c>
      <x:c r="H28" s="70" t="str">
        <x:v>Mayo</x:v>
      </x:c>
      <x:c r="I28" s="70" t="str">
        <x:v>Junio</x:v>
      </x:c>
      <x:c r="J28" s="70" t="str">
        <x:v>Julio</x:v>
      </x:c>
      <x:c r="K28" s="70" t="str">
        <x:v>Agosto</x:v>
      </x:c>
      <x:c r="L28" s="70" t="str">
        <x:v>Septiembre</x:v>
      </x:c>
      <x:c r="M28" s="70" t="str">
        <x:v>Octubre</x:v>
      </x:c>
      <x:c r="N28" s="70" t="str">
        <x:v>Noviembre</x:v>
      </x:c>
      <x:c r="O28" s="70" t="str">
        <x:v>Diciembre</x:v>
      </x:c>
      <x:c r="P28" s="70" t="str">
        <x:v>Total anual</x:v>
      </x:c>
    </x:row>
    <x:row r="29">
      <x:c r="A29" s="94" t="str"/>
      <x:c r="B29" s="118" t="str">
        <x:v>Saldo inicial</x:v>
      </x:c>
      <x:c r="C29" s="106" t="str">
        <x:v>OPENING_BALANCE</x:v>
      </x:c>
      <x:c r="D29" s="64" t="n">
        <x:v>18000</x:v>
      </x:c>
      <x:c r="E29" s="64" t="n">
        <x:f>D41</x:f>
        <x:v>52800</x:v>
      </x:c>
      <x:c r="F29" s="64" t="n">
        <x:f>E41</x:f>
        <x:v>58350</x:v>
      </x:c>
      <x:c r="G29" s="64" t="n">
        <x:f>F41</x:f>
        <x:v>45050</x:v>
      </x:c>
      <x:c r="H29" s="64" t="n">
        <x:f>G41</x:f>
        <x:v>51250</x:v>
      </x:c>
      <x:c r="I29" s="64" t="n">
        <x:f>H41</x:f>
        <x:v>61150</x:v>
      </x:c>
      <x:c r="J29" s="64" t="n">
        <x:f>I41</x:f>
        <x:v>65650</x:v>
      </x:c>
      <x:c r="K29" s="64" t="n">
        <x:f>J41</x:f>
        <x:v>72400</x:v>
      </x:c>
      <x:c r="L29" s="64" t="n">
        <x:f>K41</x:f>
        <x:v>66150</x:v>
      </x:c>
      <x:c r="M29" s="64" t="n">
        <x:f>L41</x:f>
        <x:v>89550</x:v>
      </x:c>
      <x:c r="N29" s="64" t="n">
        <x:f>M41</x:f>
        <x:v>104450</x:v>
      </x:c>
      <x:c r="O29" s="64" t="n">
        <x:f>N41</x:f>
        <x:v>120600</x:v>
      </x:c>
      <x:c r="P29" s="64" t="n">
        <x:f>SUM(D29:O29)</x:f>
        <x:v>805400</x:v>
      </x:c>
    </x:row>
    <x:row r="30">
      <x:c r="A30" s="94" t="str"/>
      <x:c r="B30" s="118" t="str">
        <x:v>Cobros de ventas del mes</x:v>
      </x:c>
      <x:c r="C30" s="106" t="str">
        <x:v>CASHFLOW_INFLOW</x:v>
      </x:c>
      <x:c r="D30" s="64" t="n">
        <x:f>SUM(D7:D9)</x:f>
        <x:v>32200</x:v>
      </x:c>
      <x:c r="E30" s="64" t="n">
        <x:f>SUM(E7:E9)</x:f>
        <x:v>33900</x:v>
      </x:c>
      <x:c r="F30" s="64" t="n">
        <x:f>SUM(F7:F9)</x:f>
        <x:v>37000</x:v>
      </x:c>
      <x:c r="G30" s="64" t="n">
        <x:f>SUM(G7:G9)</x:f>
        <x:v>36100</x:v>
      </x:c>
      <x:c r="H30" s="64" t="n">
        <x:f>SUM(H7:H9)</x:f>
        <x:v>39000</x:v>
      </x:c>
      <x:c r="I30" s="64" t="n">
        <x:f>SUM(I7:I9)</x:f>
        <x:v>41500</x:v>
      </x:c>
      <x:c r="J30" s="64" t="n">
        <x:f>SUM(J7:J9)</x:f>
        <x:v>37900</x:v>
      </x:c>
      <x:c r="K30" s="64" t="n">
        <x:f>SUM(K7:K9)</x:f>
        <x:v>27000</x:v>
      </x:c>
      <x:c r="L30" s="64" t="n">
        <x:f>SUM(L7:L9)</x:f>
        <x:v>42400</x:v>
      </x:c>
      <x:c r="M30" s="64" t="n">
        <x:f>SUM(M7:M9)</x:f>
        <x:v>46200</x:v>
      </x:c>
      <x:c r="N30" s="64" t="n">
        <x:f>SUM(N7:N9)</x:f>
        <x:v>48500</x:v>
      </x:c>
      <x:c r="O30" s="64" t="n">
        <x:f>SUM(O7:O9)</x:f>
        <x:v>57500</x:v>
      </x:c>
      <x:c r="P30" s="64" t="n">
        <x:f>SUM(D30:O30)</x:f>
        <x:v>479200</x:v>
      </x:c>
    </x:row>
    <x:row r="31">
      <x:c r="A31" s="94" t="str"/>
      <x:c r="B31" s="118" t="str">
        <x:v>Cobros de clientes del ejercicio anterior</x:v>
      </x:c>
      <x:c r="C31" s="106" t="str">
        <x:v>CASHFLOW_INFLOW</x:v>
      </x:c>
      <x:c r="D31" s="64" t="n">
        <x:v>5000</x:v>
      </x:c>
      <x:c r="E31" s="64" t="n">
        <x:v>0</x:v>
      </x:c>
      <x:c r="F31" s="64" t="n">
        <x:v>0</x:v>
      </x:c>
      <x:c r="G31" s="64" t="n">
        <x:v>0</x:v>
      </x:c>
      <x:c r="H31" s="64" t="n">
        <x:v>0</x:v>
      </x:c>
      <x:c r="I31" s="64" t="n">
        <x:v>0</x:v>
      </x:c>
      <x:c r="J31" s="64" t="n">
        <x:v>0</x:v>
      </x:c>
      <x:c r="K31" s="64" t="n">
        <x:v>0</x:v>
      </x:c>
      <x:c r="L31" s="64" t="n">
        <x:v>0</x:v>
      </x:c>
      <x:c r="M31" s="64" t="n">
        <x:v>0</x:v>
      </x:c>
      <x:c r="N31" s="64" t="n">
        <x:v>0</x:v>
      </x:c>
      <x:c r="O31" s="64" t="n">
        <x:v>0</x:v>
      </x:c>
      <x:c r="P31" s="64" t="n">
        <x:f>SUM(D31:O31)</x:f>
        <x:v>5000</x:v>
      </x:c>
    </x:row>
    <x:row r="32">
      <x:c r="A32" s="94" t="str"/>
      <x:c r="B32" s="118" t="str">
        <x:v>Subvención cobrada</x:v>
      </x:c>
      <x:c r="C32" s="106" t="str">
        <x:v>CASHFLOW_INFLOW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64" t="n">
        <x:v>0</x:v>
      </x:c>
      <x:c r="I32" s="64" t="n">
        <x:v>0</x:v>
      </x:c>
      <x:c r="J32" s="64" t="n">
        <x:v>0</x:v>
      </x:c>
      <x:c r="K32" s="64" t="n">
        <x:v>0</x:v>
      </x:c>
      <x:c r="L32" s="64" t="n">
        <x:v>12000</x:v>
      </x:c>
      <x:c r="M32" s="64" t="n">
        <x:v>0</x:v>
      </x:c>
      <x:c r="N32" s="64" t="n">
        <x:v>0</x:v>
      </x:c>
      <x:c r="O32" s="64" t="n">
        <x:v>0</x:v>
      </x:c>
      <x:c r="P32" s="64" t="n">
        <x:f>SUM(D32:O32)</x:f>
        <x:v>12000</x:v>
      </x:c>
    </x:row>
    <x:row r="33">
      <x:c r="A33" s="94" t="str"/>
      <x:c r="B33" s="118" t="str">
        <x:v>Pagos a proveedores</x:v>
      </x:c>
      <x:c r="C33" s="106" t="str">
        <x:v>CASHFLOW_OUTFLOW</x:v>
      </x:c>
      <x:c r="D33" s="64" t="n">
        <x:v>-9000</x:v>
      </x:c>
      <x:c r="E33" s="64" t="n">
        <x:v>-10200</x:v>
      </x:c>
      <x:c r="F33" s="64" t="n">
        <x:v>-10500</x:v>
      </x:c>
      <x:c r="G33" s="64" t="n">
        <x:v>-11400</x:v>
      </x:c>
      <x:c r="H33" s="64" t="n">
        <x:v>-11000</x:v>
      </x:c>
      <x:c r="I33" s="64" t="n">
        <x:v>-11800</x:v>
      </x:c>
      <x:c r="J33" s="64" t="n">
        <x:v>-12300</x:v>
      </x:c>
      <x:c r="K33" s="64" t="n">
        <x:v>-11500</x:v>
      </x:c>
      <x:c r="L33" s="64" t="n">
        <x:v>-8500</x:v>
      </x:c>
      <x:c r="M33" s="64" t="n">
        <x:v>-12600</x:v>
      </x:c>
      <x:c r="N33" s="64" t="n">
        <x:v>-13400</x:v>
      </x:c>
      <x:c r="O33" s="64" t="n">
        <x:v>-14100</x:v>
      </x:c>
      <x:c r="P33" s="64" t="n">
        <x:f>SUM(D33:O33)</x:f>
        <x:v>-136300</x:v>
      </x:c>
    </x:row>
    <x:row r="34">
      <x:c r="A34" s="94" t="str"/>
      <x:c r="B34" s="118" t="str">
        <x:v>Pagos de personal</x:v>
      </x:c>
      <x:c r="C34" s="106" t="str">
        <x:v>CASHFLOW_OUTFLOW</x:v>
      </x:c>
      <x:c r="D34" s="64" t="n">
        <x:v>-12500</x:v>
      </x:c>
      <x:c r="E34" s="64" t="n">
        <x:v>-12500</x:v>
      </x:c>
      <x:c r="F34" s="64" t="n">
        <x:v>-12500</x:v>
      </x:c>
      <x:c r="G34" s="64" t="n">
        <x:v>-12500</x:v>
      </x:c>
      <x:c r="H34" s="64" t="n">
        <x:v>-12500</x:v>
      </x:c>
      <x:c r="I34" s="64" t="n">
        <x:v>-14500</x:v>
      </x:c>
      <x:c r="J34" s="64" t="n">
        <x:v>-12500</x:v>
      </x:c>
      <x:c r="K34" s="64" t="n">
        <x:v>-12500</x:v>
      </x:c>
      <x:c r="L34" s="64" t="n">
        <x:v>-12500</x:v>
      </x:c>
      <x:c r="M34" s="64" t="n">
        <x:v>-12500</x:v>
      </x:c>
      <x:c r="N34" s="64" t="n">
        <x:v>-12500</x:v>
      </x:c>
      <x:c r="O34" s="64" t="n">
        <x:v>-14500</x:v>
      </x:c>
      <x:c r="P34" s="64" t="n">
        <x:f>SUM(D34:O34)</x:f>
        <x:v>-154000</x:v>
      </x:c>
    </x:row>
    <x:row r="35">
      <x:c r="A35" s="94" t="str"/>
      <x:c r="B35" s="118" t="str">
        <x:v>Alquiler, suministros y otros gastos</x:v>
      </x:c>
      <x:c r="C35" s="106" t="str">
        <x:v>CASHFLOW_OUTFLOW</x:v>
      </x:c>
      <x:c r="D35" s="64" t="n">
        <x:f>-SUM(D16:D19)</x:f>
        <x:v>-5300</x:v>
      </x:c>
      <x:c r="E35" s="64" t="n">
        <x:f>-SUM(E16:E19)</x:f>
        <x:v>-5050</x:v>
      </x:c>
      <x:c r="F35" s="64" t="n">
        <x:f>-SUM(F16:F19)</x:f>
        <x:v>-5200</x:v>
      </x:c>
      <x:c r="G35" s="64" t="n">
        <x:f>-SUM(G16:G19)</x:f>
        <x:v>-5400</x:v>
      </x:c>
      <x:c r="H35" s="64" t="n">
        <x:f>-SUM(H16:H19)</x:f>
        <x:v>-5000</x:v>
      </x:c>
      <x:c r="I35" s="64" t="n">
        <x:f>-SUM(I16:I19)</x:f>
        <x:v>-5900</x:v>
      </x:c>
      <x:c r="J35" s="64" t="n">
        <x:f>-SUM(J16:J19)</x:f>
        <x:v>-5750</x:v>
      </x:c>
      <x:c r="K35" s="64" t="n">
        <x:f>-SUM(K16:K19)</x:f>
        <x:v>-6150</x:v>
      </x:c>
      <x:c r="L35" s="64" t="n">
        <x:f>-SUM(L16:L19)</x:f>
        <x:v>-5400</x:v>
      </x:c>
      <x:c r="M35" s="64" t="n">
        <x:f>-SUM(M16:M19)</x:f>
        <x:v>-5600</x:v>
      </x:c>
      <x:c r="N35" s="64" t="n">
        <x:f>-SUM(N16:N19)</x:f>
        <x:v>-5850</x:v>
      </x:c>
      <x:c r="O35" s="64" t="n">
        <x:f>-SUM(O16:O19)</x:f>
        <x:v>-7000</x:v>
      </x:c>
      <x:c r="P35" s="64" t="n">
        <x:f>SUM(D35:O35)</x:f>
        <x:v>-67600</x:v>
      </x:c>
    </x:row>
    <x:row r="36">
      <x:c r="A36" s="94" t="str"/>
      <x:c r="B36" s="118" t="str">
        <x:v>IVA e impuestos trimestrales</x:v>
      </x:c>
      <x:c r="C36" s="106" t="str">
        <x:v>CASHFLOW_TAX</x:v>
      </x:c>
      <x:c r="D36" s="64" t="n">
        <x:v>0</x:v>
      </x:c>
      <x:c r="E36" s="64" t="n">
        <x:v>0</x:v>
      </x:c>
      <x:c r="F36" s="64" t="n">
        <x:v>-3500</x:v>
      </x:c>
      <x:c r="G36" s="64" t="n">
        <x:v>0</x:v>
      </x:c>
      <x:c r="H36" s="64" t="n">
        <x:v>0</x:v>
      </x:c>
      <x:c r="I36" s="64" t="n">
        <x:v>-4200</x:v>
      </x:c>
      <x:c r="J36" s="64" t="n">
        <x:v>0</x:v>
      </x:c>
      <x:c r="K36" s="64" t="n">
        <x:v>0</x:v>
      </x:c>
      <x:c r="L36" s="64" t="n">
        <x:v>-4000</x:v>
      </x:c>
      <x:c r="M36" s="64" t="n">
        <x:v>0</x:v>
      </x:c>
      <x:c r="N36" s="64" t="n">
        <x:v>0</x:v>
      </x:c>
      <x:c r="O36" s="64" t="n">
        <x:v>-5500</x:v>
      </x:c>
      <x:c r="P36" s="64" t="n">
        <x:f>SUM(D36:O36)</x:f>
        <x:v>-17200</x:v>
      </x:c>
    </x:row>
    <x:row r="37">
      <x:c r="A37" s="94" t="str"/>
      <x:c r="B37" s="118" t="str">
        <x:v>Inversión en cafetera y terraza</x:v>
      </x:c>
      <x:c r="C37" s="106" t="str">
        <x:v>CAPEX</x:v>
      </x:c>
      <x:c r="D37" s="64" t="n">
        <x:v>0</x:v>
      </x:c>
      <x:c r="E37" s="64" t="n">
        <x:v>0</x:v>
      </x:c>
      <x:c r="F37" s="64" t="n">
        <x:v>-18000</x:v>
      </x:c>
      <x:c r="G37" s="64" t="n">
        <x:v>0</x:v>
      </x:c>
      <x:c r="H37" s="64" t="n">
        <x:v>0</x:v>
      </x:c>
      <x:c r="I37" s="64" t="n">
        <x:v>0</x:v>
      </x:c>
      <x:c r="J37" s="64" t="n">
        <x:v>0</x:v>
      </x:c>
      <x:c r="K37" s="64" t="n">
        <x:v>-2500</x:v>
      </x:c>
      <x:c r="L37" s="64" t="n">
        <x:v>0</x:v>
      </x:c>
      <x:c r="M37" s="64" t="n">
        <x:v>0</x:v>
      </x:c>
      <x:c r="N37" s="64" t="n">
        <x:v>0</x:v>
      </x:c>
      <x:c r="O37" s="64" t="n">
        <x:v>0</x:v>
      </x:c>
      <x:c r="P37" s="64" t="n">
        <x:f>SUM(D37:O37)</x:f>
        <x:v>-20500</x:v>
      </x:c>
    </x:row>
    <x:row r="38">
      <x:c r="A38" s="94" t="str"/>
      <x:c r="B38" s="118" t="str">
        <x:v>Préstamo bancario recibido</x:v>
      </x:c>
      <x:c r="C38" s="106" t="str">
        <x:v>FINANCING_INFLOW</x:v>
      </x:c>
      <x:c r="D38" s="64" t="n">
        <x:v>25000</x:v>
      </x:c>
      <x:c r="E38" s="64" t="n">
        <x:v>0</x:v>
      </x:c>
      <x:c r="F38" s="64" t="n">
        <x:v>0</x:v>
      </x:c>
      <x:c r="G38" s="64" t="n">
        <x:v>0</x:v>
      </x:c>
      <x:c r="H38" s="64" t="n">
        <x:v>0</x:v>
      </x:c>
      <x:c r="I38" s="64" t="n">
        <x:v>0</x:v>
      </x:c>
      <x:c r="J38" s="64" t="n">
        <x:v>0</x:v>
      </x:c>
      <x:c r="K38" s="64" t="n">
        <x:v>0</x:v>
      </x:c>
      <x:c r="L38" s="64" t="n">
        <x:v>0</x:v>
      </x:c>
      <x:c r="M38" s="64" t="n">
        <x:v>0</x:v>
      </x:c>
      <x:c r="N38" s="64" t="n">
        <x:v>0</x:v>
      </x:c>
      <x:c r="O38" s="64" t="n">
        <x:v>0</x:v>
      </x:c>
      <x:c r="P38" s="64" t="n">
        <x:f>SUM(D38:O38)</x:f>
        <x:v>25000</x:v>
      </x:c>
    </x:row>
    <x:row r="39">
      <x:c r="A39" s="94" t="str"/>
      <x:c r="B39" s="118" t="str">
        <x:v>Cuota mensual del préstamo</x:v>
      </x:c>
      <x:c r="C39" s="106" t="str">
        <x:v>FINANCING_OUTFLOW</x:v>
      </x:c>
      <x:c r="D39" s="64" t="n">
        <x:v>-600</x:v>
      </x:c>
      <x:c r="E39" s="64" t="n">
        <x:v>-600</x:v>
      </x:c>
      <x:c r="F39" s="64" t="n">
        <x:v>-600</x:v>
      </x:c>
      <x:c r="G39" s="64" t="n">
        <x:v>-600</x:v>
      </x:c>
      <x:c r="H39" s="64" t="n">
        <x:v>-600</x:v>
      </x:c>
      <x:c r="I39" s="64" t="n">
        <x:v>-600</x:v>
      </x:c>
      <x:c r="J39" s="64" t="n">
        <x:v>-600</x:v>
      </x:c>
      <x:c r="K39" s="64" t="n">
        <x:v>-600</x:v>
      </x:c>
      <x:c r="L39" s="64" t="n">
        <x:v>-600</x:v>
      </x:c>
      <x:c r="M39" s="64" t="n">
        <x:v>-600</x:v>
      </x:c>
      <x:c r="N39" s="64" t="n">
        <x:v>-600</x:v>
      </x:c>
      <x:c r="O39" s="64" t="n">
        <x:v>-600</x:v>
      </x:c>
      <x:c r="P39" s="64" t="n">
        <x:f>SUM(D39:O39)</x:f>
        <x:v>-7200</x:v>
      </x:c>
    </x:row>
    <x:row r="40">
      <x:c r="A40" s="95" t="str"/>
      <x:c r="B40" s="119" t="str">
        <x:v>CASH NETO</x:v>
      </x:c>
      <x:c r="C40" s="107" t="str">
        <x:v>DERIVED_KPI</x:v>
      </x:c>
      <x:c r="D40" s="65" t="n">
        <x:f>SUM(D30:D39)</x:f>
        <x:v>34800</x:v>
      </x:c>
      <x:c r="E40" s="65" t="n">
        <x:f>SUM(E30:E39)</x:f>
        <x:v>5550</x:v>
      </x:c>
      <x:c r="F40" s="65" t="n">
        <x:f>SUM(F30:F39)</x:f>
        <x:v>-13300</x:v>
      </x:c>
      <x:c r="G40" s="65" t="n">
        <x:f>SUM(G30:G39)</x:f>
        <x:v>6200</x:v>
      </x:c>
      <x:c r="H40" s="65" t="n">
        <x:f>SUM(H30:H39)</x:f>
        <x:v>9900</x:v>
      </x:c>
      <x:c r="I40" s="65" t="n">
        <x:f>SUM(I30:I39)</x:f>
        <x:v>4500</x:v>
      </x:c>
      <x:c r="J40" s="65" t="n">
        <x:f>SUM(J30:J39)</x:f>
        <x:v>6750</x:v>
      </x:c>
      <x:c r="K40" s="65" t="n">
        <x:f>SUM(K30:K39)</x:f>
        <x:v>-6250</x:v>
      </x:c>
      <x:c r="L40" s="65" t="n">
        <x:f>SUM(L30:L39)</x:f>
        <x:v>23400</x:v>
      </x:c>
      <x:c r="M40" s="65" t="n">
        <x:f>SUM(M30:M39)</x:f>
        <x:v>14900</x:v>
      </x:c>
      <x:c r="N40" s="65" t="n">
        <x:f>SUM(N30:N39)</x:f>
        <x:v>16150</x:v>
      </x:c>
      <x:c r="O40" s="65" t="n">
        <x:f>SUM(O30:O39)</x:f>
        <x:v>15800</x:v>
      </x:c>
      <x:c r="P40" s="65" t="n">
        <x:f>SUM(D40:O40)</x:f>
        <x:v>118400</x:v>
      </x:c>
    </x:row>
    <x:row r="41">
      <x:c r="A41" s="95" t="str"/>
      <x:c r="B41" s="119" t="str">
        <x:v>SALDO FINAL</x:v>
      </x:c>
      <x:c r="C41" s="107" t="str">
        <x:v>CLOSING_BALANCE</x:v>
      </x:c>
      <x:c r="D41" s="65" t="n">
        <x:f>D29+D40</x:f>
        <x:v>52800</x:v>
      </x:c>
      <x:c r="E41" s="65" t="n">
        <x:f>E29+E40</x:f>
        <x:v>58350</x:v>
      </x:c>
      <x:c r="F41" s="65" t="n">
        <x:f>F29+F40</x:f>
        <x:v>45050</x:v>
      </x:c>
      <x:c r="G41" s="65" t="n">
        <x:f>G29+G40</x:f>
        <x:v>51250</x:v>
      </x:c>
      <x:c r="H41" s="65" t="n">
        <x:f>H29+H40</x:f>
        <x:v>61150</x:v>
      </x:c>
      <x:c r="I41" s="65" t="n">
        <x:f>I29+I40</x:f>
        <x:v>65650</x:v>
      </x:c>
      <x:c r="J41" s="65" t="n">
        <x:f>J29+J40</x:f>
        <x:v>72400</x:v>
      </x:c>
      <x:c r="K41" s="65" t="n">
        <x:f>K29+K40</x:f>
        <x:v>66150</x:v>
      </x:c>
      <x:c r="L41" s="65" t="n">
        <x:f>L29+L40</x:f>
        <x:v>89550</x:v>
      </x:c>
      <x:c r="M41" s="65" t="n">
        <x:f>M29+M40</x:f>
        <x:v>104450</x:v>
      </x:c>
      <x:c r="N41" s="65" t="n">
        <x:f>N29+N40</x:f>
        <x:v>120600</x:v>
      </x:c>
      <x:c r="O41" s="65" t="n">
        <x:f>O29+O40</x:f>
        <x:v>136400</x:v>
      </x:c>
      <x:c r="P41" s="65" t="n">
        <x:f>O41</x:f>
        <x:v>136400</x:v>
      </x:c>
    </x:row>
    <x:row r="44" ht="34" customHeight="1">
      <x:c r="A44" s="91" t="str">
        <x:v>Nota: las filas de subtotal y KPI no deben sumarse junto con las partidas de detalle. El saldo final utiliza el valor de diciembre, no la suma anual.</x:v>
      </x:c>
      <x:c r="B44" s="91"/>
      <x:c r="C44" s="91"/>
      <x:c r="D44" s="91"/>
      <x:c r="E44" s="91"/>
      <x:c r="F44" s="91"/>
      <x:c r="G44" s="91"/>
      <x:c r="H44" s="91"/>
      <x:c r="I44" s="91"/>
      <x:c r="J44" s="91"/>
      <x:c r="K44" s="91"/>
      <x:c r="L44" s="91"/>
      <x:c r="M44" s="91"/>
      <x:c r="N44" s="91"/>
      <x:c r="O44" s="91"/>
      <x:c r="P44" s="91"/>
    </x:row>
  </x:sheetData>
  <x:mergeCells>
    <x:mergeCell ref="A1:P1"/>
    <x:mergeCell ref="A5:P5"/>
    <x:mergeCell ref="A27:P27"/>
    <x:mergeCell ref="A44:P44"/>
  </x:mergeCells>
  <x:pageMargins left="0.7" right="0.7" top="0.75" bottom="0.75" header="0.3" footer="0.3"/>
</x:worksheet>
</file>