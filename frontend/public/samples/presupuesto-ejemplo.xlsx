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ergio\Desktop\"/>
    </mc:Choice>
  </mc:AlternateContent>
  <xr:revisionPtr revIDLastSave="0" documentId="13_ncr:1_{74F5986A-3F03-46A9-9FD9-3C774A868C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scenario 2025 NORMAL" sheetId="23" r:id="rId1"/>
  </sheets>
  <definedNames>
    <definedName name="_xlnm.Print_Area" localSheetId="0">'Escenario 2025 NORMAL'!$A$104:$O$166</definedName>
  </definedNames>
  <calcPr calcId="18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29" i="23" l="1"/>
  <c r="F17" i="23" l="1"/>
  <c r="F16" i="23"/>
  <c r="D120" i="23"/>
  <c r="C129" i="23" l="1"/>
  <c r="C128" i="23"/>
  <c r="C127" i="23"/>
  <c r="C122" i="23"/>
  <c r="C121" i="23"/>
  <c r="C120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1" i="23"/>
  <c r="N111" i="23"/>
  <c r="M111" i="23"/>
  <c r="L111" i="23"/>
  <c r="K111" i="23"/>
  <c r="J111" i="23"/>
  <c r="I111" i="23"/>
  <c r="H111" i="23"/>
  <c r="G111" i="23"/>
  <c r="F111" i="23"/>
  <c r="E111" i="23"/>
  <c r="O109" i="23"/>
  <c r="L109" i="23"/>
  <c r="K109" i="23"/>
  <c r="J109" i="23"/>
  <c r="I109" i="23"/>
  <c r="H109" i="23"/>
  <c r="G109" i="23"/>
  <c r="F109" i="23"/>
  <c r="E109" i="23"/>
  <c r="C106" i="23"/>
  <c r="N105" i="23"/>
  <c r="K105" i="23"/>
  <c r="I105" i="23"/>
  <c r="H105" i="23"/>
  <c r="G105" i="23"/>
  <c r="F105" i="23"/>
  <c r="D105" i="23"/>
  <c r="C95" i="23"/>
  <c r="C94" i="23"/>
  <c r="C93" i="23"/>
  <c r="C92" i="23"/>
  <c r="O91" i="23"/>
  <c r="O119" i="23" s="1"/>
  <c r="N91" i="23"/>
  <c r="N119" i="23" s="1"/>
  <c r="M91" i="23"/>
  <c r="M119" i="23" s="1"/>
  <c r="L91" i="23"/>
  <c r="L119" i="23" s="1"/>
  <c r="K91" i="23"/>
  <c r="K119" i="23" s="1"/>
  <c r="J91" i="23"/>
  <c r="J119" i="23" s="1"/>
  <c r="I91" i="23"/>
  <c r="I119" i="23" s="1"/>
  <c r="H91" i="23"/>
  <c r="H119" i="23" s="1"/>
  <c r="G91" i="23"/>
  <c r="G119" i="23" s="1"/>
  <c r="F91" i="23"/>
  <c r="F119" i="23" s="1"/>
  <c r="E91" i="23"/>
  <c r="E119" i="23" s="1"/>
  <c r="D91" i="23"/>
  <c r="D119" i="23" s="1"/>
  <c r="C90" i="23"/>
  <c r="C89" i="23"/>
  <c r="C88" i="23"/>
  <c r="O87" i="23"/>
  <c r="O96" i="23" s="1"/>
  <c r="N87" i="23"/>
  <c r="M87" i="23"/>
  <c r="L87" i="23"/>
  <c r="L96" i="23" s="1"/>
  <c r="K87" i="23"/>
  <c r="K96" i="23" s="1"/>
  <c r="J87" i="23"/>
  <c r="I87" i="23"/>
  <c r="H87" i="23"/>
  <c r="H96" i="23" s="1"/>
  <c r="G87" i="23"/>
  <c r="G96" i="23" s="1"/>
  <c r="F87" i="23"/>
  <c r="E87" i="23"/>
  <c r="D87" i="23"/>
  <c r="D96" i="23" s="1"/>
  <c r="C85" i="23"/>
  <c r="C84" i="23"/>
  <c r="O82" i="23"/>
  <c r="N82" i="23"/>
  <c r="M82" i="23"/>
  <c r="L82" i="23"/>
  <c r="L78" i="23" s="1"/>
  <c r="L118" i="23" s="1"/>
  <c r="K82" i="23"/>
  <c r="K78" i="23" s="1"/>
  <c r="K118" i="23" s="1"/>
  <c r="J82" i="23"/>
  <c r="I82" i="23"/>
  <c r="H82" i="23"/>
  <c r="G82" i="23"/>
  <c r="F82" i="23"/>
  <c r="E82" i="23"/>
  <c r="D82" i="23"/>
  <c r="C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C80" i="23" s="1"/>
  <c r="O79" i="23"/>
  <c r="N79" i="23"/>
  <c r="M79" i="23"/>
  <c r="L79" i="23"/>
  <c r="K79" i="23"/>
  <c r="J79" i="23"/>
  <c r="I79" i="23"/>
  <c r="H79" i="23"/>
  <c r="H78" i="23" s="1"/>
  <c r="H118" i="23" s="1"/>
  <c r="G79" i="23"/>
  <c r="F79" i="23"/>
  <c r="E79" i="23"/>
  <c r="D79" i="23"/>
  <c r="C79" i="23" s="1"/>
  <c r="J78" i="23"/>
  <c r="J118" i="23" s="1"/>
  <c r="I78" i="23"/>
  <c r="I118" i="23" s="1"/>
  <c r="C77" i="23"/>
  <c r="C117" i="23" s="1"/>
  <c r="C76" i="23"/>
  <c r="C75" i="23"/>
  <c r="C74" i="23"/>
  <c r="C73" i="23"/>
  <c r="C72" i="23"/>
  <c r="C71" i="23"/>
  <c r="C70" i="23"/>
  <c r="O69" i="23"/>
  <c r="O116" i="23" s="1"/>
  <c r="N69" i="23"/>
  <c r="N116" i="23" s="1"/>
  <c r="M69" i="23"/>
  <c r="M116" i="23" s="1"/>
  <c r="L69" i="23"/>
  <c r="L116" i="23" s="1"/>
  <c r="K69" i="23"/>
  <c r="K116" i="23" s="1"/>
  <c r="J69" i="23"/>
  <c r="J116" i="23" s="1"/>
  <c r="I69" i="23"/>
  <c r="I116" i="23" s="1"/>
  <c r="H69" i="23"/>
  <c r="H116" i="23" s="1"/>
  <c r="G69" i="23"/>
  <c r="F69" i="23"/>
  <c r="F116" i="23" s="1"/>
  <c r="E69" i="23"/>
  <c r="E116" i="23" s="1"/>
  <c r="D69" i="23"/>
  <c r="D116" i="23" s="1"/>
  <c r="C68" i="23"/>
  <c r="C67" i="23"/>
  <c r="C66" i="23"/>
  <c r="C65" i="23"/>
  <c r="C64" i="23"/>
  <c r="O63" i="23"/>
  <c r="O115" i="23" s="1"/>
  <c r="N63" i="23"/>
  <c r="N115" i="23" s="1"/>
  <c r="M63" i="23"/>
  <c r="M115" i="23" s="1"/>
  <c r="L63" i="23"/>
  <c r="L115" i="23" s="1"/>
  <c r="K63" i="23"/>
  <c r="K115" i="23" s="1"/>
  <c r="J63" i="23"/>
  <c r="J115" i="23" s="1"/>
  <c r="I63" i="23"/>
  <c r="I115" i="23" s="1"/>
  <c r="H63" i="23"/>
  <c r="H115" i="23" s="1"/>
  <c r="G63" i="23"/>
  <c r="G115" i="23" s="1"/>
  <c r="F63" i="23"/>
  <c r="F115" i="23" s="1"/>
  <c r="E63" i="23"/>
  <c r="E115" i="23" s="1"/>
  <c r="D63" i="23"/>
  <c r="D115" i="23" s="1"/>
  <c r="C62" i="23"/>
  <c r="C114" i="23" s="1"/>
  <c r="C61" i="23"/>
  <c r="C113" i="23" s="1"/>
  <c r="O60" i="23"/>
  <c r="L60" i="23"/>
  <c r="K60" i="23"/>
  <c r="J60" i="23"/>
  <c r="E60" i="23"/>
  <c r="E52" i="23" s="1"/>
  <c r="E112" i="23" s="1"/>
  <c r="D60" i="23"/>
  <c r="D52" i="23" s="1"/>
  <c r="C59" i="23"/>
  <c r="C58" i="23"/>
  <c r="C57" i="23"/>
  <c r="C56" i="23"/>
  <c r="C55" i="23"/>
  <c r="C54" i="23"/>
  <c r="C53" i="23"/>
  <c r="O52" i="23"/>
  <c r="O112" i="23" s="1"/>
  <c r="N52" i="23"/>
  <c r="M52" i="23"/>
  <c r="L52" i="23"/>
  <c r="K52" i="23"/>
  <c r="K112" i="23" s="1"/>
  <c r="J52" i="23"/>
  <c r="J112" i="23" s="1"/>
  <c r="I52" i="23"/>
  <c r="I112" i="23" s="1"/>
  <c r="H52" i="23"/>
  <c r="H112" i="23" s="1"/>
  <c r="G52" i="23"/>
  <c r="G112" i="23" s="1"/>
  <c r="F52" i="23"/>
  <c r="F112" i="23" s="1"/>
  <c r="D51" i="23"/>
  <c r="D111" i="23" s="1"/>
  <c r="C51" i="23"/>
  <c r="C111" i="23" s="1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O37" i="23"/>
  <c r="O36" i="23" s="1"/>
  <c r="N37" i="23"/>
  <c r="N110" i="23" s="1"/>
  <c r="M37" i="23"/>
  <c r="M110" i="23" s="1"/>
  <c r="L37" i="23"/>
  <c r="L110" i="23" s="1"/>
  <c r="K37" i="23"/>
  <c r="K110" i="23" s="1"/>
  <c r="J37" i="23"/>
  <c r="J110" i="23" s="1"/>
  <c r="I37" i="23"/>
  <c r="I110" i="23" s="1"/>
  <c r="H37" i="23"/>
  <c r="H110" i="23" s="1"/>
  <c r="G37" i="23"/>
  <c r="G36" i="23" s="1"/>
  <c r="F37" i="23"/>
  <c r="E37" i="23"/>
  <c r="D37" i="23"/>
  <c r="N30" i="23"/>
  <c r="N109" i="23" s="1"/>
  <c r="M30" i="23"/>
  <c r="M109" i="23" s="1"/>
  <c r="D30" i="23"/>
  <c r="D109" i="23" s="1"/>
  <c r="C29" i="23"/>
  <c r="C28" i="23"/>
  <c r="C27" i="23"/>
  <c r="C26" i="23"/>
  <c r="C25" i="23"/>
  <c r="C24" i="23"/>
  <c r="C23" i="23"/>
  <c r="O22" i="23"/>
  <c r="O21" i="23" s="1"/>
  <c r="N22" i="23"/>
  <c r="N21" i="23" s="1"/>
  <c r="M22" i="23"/>
  <c r="L22" i="23"/>
  <c r="L21" i="23" s="1"/>
  <c r="K22" i="23"/>
  <c r="K21" i="23" s="1"/>
  <c r="J22" i="23"/>
  <c r="J107" i="23" s="1"/>
  <c r="I22" i="23"/>
  <c r="I107" i="23" s="1"/>
  <c r="H22" i="23"/>
  <c r="H107" i="23" s="1"/>
  <c r="G22" i="23"/>
  <c r="G107" i="23" s="1"/>
  <c r="F22" i="23"/>
  <c r="F107" i="23" s="1"/>
  <c r="E22" i="23"/>
  <c r="E107" i="23" s="1"/>
  <c r="D22" i="23"/>
  <c r="D21" i="23" s="1"/>
  <c r="M19" i="23"/>
  <c r="C19" i="23" s="1"/>
  <c r="C17" i="23"/>
  <c r="E105" i="23"/>
  <c r="C16" i="23"/>
  <c r="C15" i="23"/>
  <c r="J15" i="23" s="1"/>
  <c r="C11" i="23"/>
  <c r="C10" i="23"/>
  <c r="C8" i="23"/>
  <c r="L8" i="23" s="1"/>
  <c r="C7" i="23"/>
  <c r="L7" i="23" s="1"/>
  <c r="O5" i="23"/>
  <c r="N5" i="23"/>
  <c r="M5" i="23"/>
  <c r="K5" i="23"/>
  <c r="I5" i="23"/>
  <c r="H5" i="23"/>
  <c r="G5" i="23"/>
  <c r="F5" i="23"/>
  <c r="E5" i="23"/>
  <c r="D5" i="23"/>
  <c r="E96" i="23" l="1"/>
  <c r="I96" i="23"/>
  <c r="M96" i="23"/>
  <c r="E21" i="23"/>
  <c r="E33" i="23" s="1"/>
  <c r="E36" i="23"/>
  <c r="F78" i="23"/>
  <c r="F118" i="23" s="1"/>
  <c r="I21" i="23"/>
  <c r="F96" i="23"/>
  <c r="J96" i="23"/>
  <c r="N96" i="23"/>
  <c r="J21" i="23"/>
  <c r="F36" i="23"/>
  <c r="F35" i="23" s="1"/>
  <c r="C91" i="23"/>
  <c r="K33" i="23"/>
  <c r="C22" i="23"/>
  <c r="D36" i="23"/>
  <c r="D35" i="23" s="1"/>
  <c r="H108" i="23"/>
  <c r="H124" i="23" s="1"/>
  <c r="H125" i="23" s="1"/>
  <c r="H131" i="23" s="1"/>
  <c r="C63" i="23"/>
  <c r="C115" i="23" s="1"/>
  <c r="G78" i="23"/>
  <c r="G118" i="23" s="1"/>
  <c r="F21" i="23"/>
  <c r="F33" i="23" s="1"/>
  <c r="H21" i="23"/>
  <c r="H33" i="23" s="1"/>
  <c r="C60" i="23"/>
  <c r="M78" i="23"/>
  <c r="M118" i="23" s="1"/>
  <c r="K107" i="23"/>
  <c r="C69" i="23"/>
  <c r="C116" i="23" s="1"/>
  <c r="N78" i="23"/>
  <c r="N118" i="23" s="1"/>
  <c r="L107" i="23"/>
  <c r="M21" i="23"/>
  <c r="M33" i="23" s="1"/>
  <c r="O78" i="23"/>
  <c r="O118" i="23" s="1"/>
  <c r="I33" i="23"/>
  <c r="G21" i="23"/>
  <c r="G33" i="23" s="1"/>
  <c r="E78" i="23"/>
  <c r="E118" i="23" s="1"/>
  <c r="D78" i="23"/>
  <c r="D118" i="23" s="1"/>
  <c r="M105" i="23"/>
  <c r="O110" i="23"/>
  <c r="I36" i="23"/>
  <c r="I35" i="23" s="1"/>
  <c r="H36" i="23"/>
  <c r="H35" i="23" s="1"/>
  <c r="J36" i="23"/>
  <c r="J35" i="23" s="1"/>
  <c r="L36" i="23"/>
  <c r="L35" i="23" s="1"/>
  <c r="D110" i="23"/>
  <c r="C37" i="23"/>
  <c r="M36" i="23"/>
  <c r="E110" i="23"/>
  <c r="N36" i="23"/>
  <c r="C87" i="23"/>
  <c r="C119" i="23"/>
  <c r="C109" i="23"/>
  <c r="I108" i="23"/>
  <c r="I124" i="23" s="1"/>
  <c r="I125" i="23" s="1"/>
  <c r="I131" i="23" s="1"/>
  <c r="J108" i="23"/>
  <c r="J124" i="23" s="1"/>
  <c r="J125" i="23" s="1"/>
  <c r="K108" i="23"/>
  <c r="K124" i="23" s="1"/>
  <c r="L5" i="23"/>
  <c r="L33" i="23" s="1"/>
  <c r="L83" i="23" s="1"/>
  <c r="L86" i="23" s="1"/>
  <c r="L98" i="23" s="1"/>
  <c r="L105" i="23"/>
  <c r="C6" i="23"/>
  <c r="C5" i="23" s="1"/>
  <c r="N33" i="23"/>
  <c r="O33" i="23"/>
  <c r="C110" i="23"/>
  <c r="C52" i="23"/>
  <c r="C112" i="23" s="1"/>
  <c r="D112" i="23"/>
  <c r="D33" i="23"/>
  <c r="J105" i="23"/>
  <c r="J5" i="23"/>
  <c r="J33" i="23" s="1"/>
  <c r="L112" i="23"/>
  <c r="L108" i="23" s="1"/>
  <c r="L124" i="23" s="1"/>
  <c r="K36" i="23"/>
  <c r="K35" i="23" s="1"/>
  <c r="K83" i="23" s="1"/>
  <c r="K86" i="23" s="1"/>
  <c r="K98" i="23" s="1"/>
  <c r="O105" i="23"/>
  <c r="F110" i="23"/>
  <c r="F108" i="23" s="1"/>
  <c r="F124" i="23" s="1"/>
  <c r="F125" i="23" s="1"/>
  <c r="F131" i="23" s="1"/>
  <c r="M112" i="23"/>
  <c r="C82" i="23"/>
  <c r="C78" i="23" s="1"/>
  <c r="C118" i="23" s="1"/>
  <c r="M107" i="23"/>
  <c r="G110" i="23"/>
  <c r="N112" i="23"/>
  <c r="C107" i="23"/>
  <c r="N107" i="23"/>
  <c r="G116" i="23"/>
  <c r="D107" i="23"/>
  <c r="O107" i="23"/>
  <c r="C30" i="23"/>
  <c r="C21" i="23" s="1"/>
  <c r="M108" i="23" l="1"/>
  <c r="M124" i="23" s="1"/>
  <c r="L125" i="23"/>
  <c r="N35" i="23"/>
  <c r="N83" i="23" s="1"/>
  <c r="N86" i="23" s="1"/>
  <c r="N98" i="23" s="1"/>
  <c r="O108" i="23"/>
  <c r="O124" i="23" s="1"/>
  <c r="O125" i="23" s="1"/>
  <c r="O131" i="23" s="1"/>
  <c r="K125" i="23"/>
  <c r="K131" i="23" s="1"/>
  <c r="F83" i="23"/>
  <c r="F86" i="23" s="1"/>
  <c r="F98" i="23" s="1"/>
  <c r="E35" i="23"/>
  <c r="J83" i="23"/>
  <c r="J86" i="23" s="1"/>
  <c r="J98" i="23" s="1"/>
  <c r="C96" i="23"/>
  <c r="I83" i="23"/>
  <c r="I86" i="23" s="1"/>
  <c r="I98" i="23" s="1"/>
  <c r="N108" i="23"/>
  <c r="N124" i="23" s="1"/>
  <c r="G35" i="23"/>
  <c r="G83" i="23" s="1"/>
  <c r="G86" i="23" s="1"/>
  <c r="G98" i="23" s="1"/>
  <c r="O35" i="23"/>
  <c r="O83" i="23" s="1"/>
  <c r="O86" i="23" s="1"/>
  <c r="O98" i="23" s="1"/>
  <c r="H83" i="23"/>
  <c r="H86" i="23" s="1"/>
  <c r="H98" i="23" s="1"/>
  <c r="E83" i="23"/>
  <c r="E86" i="23" s="1"/>
  <c r="E98" i="23" s="1"/>
  <c r="E108" i="23"/>
  <c r="E124" i="23" s="1"/>
  <c r="E125" i="23" s="1"/>
  <c r="E131" i="23" s="1"/>
  <c r="M35" i="23"/>
  <c r="M83" i="23" s="1"/>
  <c r="M86" i="23" s="1"/>
  <c r="M98" i="23" s="1"/>
  <c r="D108" i="23"/>
  <c r="D124" i="23" s="1"/>
  <c r="C105" i="23"/>
  <c r="G108" i="23"/>
  <c r="G124" i="23" s="1"/>
  <c r="G125" i="23" s="1"/>
  <c r="G131" i="23" s="1"/>
  <c r="C108" i="23"/>
  <c r="C124" i="23" s="1"/>
  <c r="C125" i="23" s="1"/>
  <c r="D125" i="23"/>
  <c r="D131" i="23" s="1"/>
  <c r="D133" i="23" s="1"/>
  <c r="N125" i="23"/>
  <c r="N131" i="23" s="1"/>
  <c r="J131" i="23"/>
  <c r="C33" i="23"/>
  <c r="L131" i="23"/>
  <c r="C36" i="23"/>
  <c r="C35" i="23" s="1"/>
  <c r="M125" i="23"/>
  <c r="M131" i="23" s="1"/>
  <c r="D83" i="23"/>
  <c r="D86" i="23" s="1"/>
  <c r="D98" i="23" s="1"/>
  <c r="E133" i="23" l="1"/>
  <c r="F133" i="23" s="1"/>
  <c r="G133" i="23"/>
  <c r="H133" i="23" s="1"/>
  <c r="I133" i="23" s="1"/>
  <c r="J133" i="23" s="1"/>
  <c r="K133" i="23" s="1"/>
  <c r="L133" i="23" s="1"/>
  <c r="M133" i="23" s="1"/>
  <c r="N133" i="23" s="1"/>
  <c r="O133" i="23" s="1"/>
  <c r="C83" i="23"/>
  <c r="C86" i="23" s="1"/>
  <c r="C98" i="23" s="1"/>
  <c r="C131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SERGIO</author>
  </authors>
  <commentList>
    <comment ref="F1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SERGIO:</t>
        </r>
        <r>
          <rPr>
            <sz val="9"/>
            <color indexed="81"/>
            <rFont val="Tahoma"/>
            <family val="2"/>
          </rPr>
          <t xml:space="preserve">
Cosecha 2024
</t>
        </r>
      </text>
    </comment>
    <comment ref="F1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SERGIO:</t>
        </r>
        <r>
          <rPr>
            <sz val="9"/>
            <color indexed="81"/>
            <rFont val="Tahoma"/>
            <family val="2"/>
          </rPr>
          <t xml:space="preserve">
Existencias iniciales aceite 2024</t>
        </r>
      </text>
    </comment>
    <comment ref="O17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SERGIO:</t>
        </r>
        <r>
          <rPr>
            <sz val="9"/>
            <color indexed="81"/>
            <rFont val="Tahoma"/>
            <charset val="1"/>
          </rPr>
          <t xml:space="preserve">
Existencias Aceituas Manzanilla, gordal y Aceite</t>
        </r>
      </text>
    </comment>
    <comment ref="O8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SERGIO:</t>
        </r>
        <r>
          <rPr>
            <sz val="9"/>
            <color indexed="81"/>
            <rFont val="Tahoma"/>
            <family val="2"/>
          </rPr>
          <t xml:space="preserve">
Val. A 31-12</t>
        </r>
      </text>
    </comment>
  </commentList>
</comments>
</file>

<file path=xl/sharedStrings.xml><?xml version="1.0" encoding="utf-8"?>
<sst xmlns="http://schemas.openxmlformats.org/spreadsheetml/2006/main" count="144" uniqueCount="130">
  <si>
    <t>TOTAL ANUAL</t>
  </si>
  <si>
    <t>Asecon</t>
  </si>
  <si>
    <t>TOTAL GASTOS</t>
  </si>
  <si>
    <t>INGRESOS FINANCIEROS</t>
  </si>
  <si>
    <t>GASTOS FINANCIEROS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</si>
  <si>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</si>
  <si>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</si>
  <si>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</si>
  <si>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</si>
  <si>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</si>
  <si>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</si>
  <si>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</si>
  <si>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</si>
  <si>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</si>
  <si>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</si>
  <si>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</si>
  <si>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</si>
  <si>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RESULTADO FINANCIERO</t>
  </si>
  <si>
    <t>602-0 Compras otros aprovisionamientos</t>
  </si>
  <si>
    <t>602-1 Compras Semillas</t>
  </si>
  <si>
    <t>602-2 Compras Fitosanitarios</t>
  </si>
  <si>
    <t>602-4 Compras Fertilizantes-Abonos</t>
  </si>
  <si>
    <t>602-6 Compras Herbicidas</t>
  </si>
  <si>
    <t>602-3 Compras productos quimicos almacen</t>
  </si>
  <si>
    <t>602-5 Compras de sal</t>
  </si>
  <si>
    <t>607 Trabajos realizados otras empresas</t>
  </si>
  <si>
    <t>622 Reparación y Conservación</t>
  </si>
  <si>
    <t>623 Sev. Profesionales</t>
  </si>
  <si>
    <t>625 Seguros</t>
  </si>
  <si>
    <t>626 Sv. Bancarios</t>
  </si>
  <si>
    <t>628 Suministros</t>
  </si>
  <si>
    <t>628-1 telefono</t>
  </si>
  <si>
    <t>628-2 electricidad</t>
  </si>
  <si>
    <t>628-4 carburante</t>
  </si>
  <si>
    <t>628-5 mat.oficina</t>
  </si>
  <si>
    <t>669    Otros gastos Financieros</t>
  </si>
  <si>
    <t>769     Otros Ingresos Financieros</t>
  </si>
  <si>
    <t>631.   Otros tributos</t>
  </si>
  <si>
    <t>629   Otros servicios</t>
  </si>
  <si>
    <t>642    Seg Sociales</t>
  </si>
  <si>
    <t>CLIENTES AÑO ANTERIOR</t>
  </si>
  <si>
    <t xml:space="preserve">        (almazara,transporte,recolecciony desratizacion)</t>
  </si>
  <si>
    <t>621-1        canones</t>
  </si>
  <si>
    <t>621-2        Alquiler maquinaria</t>
  </si>
  <si>
    <t>628-3  Agua</t>
  </si>
  <si>
    <t>666   Perdidas en participaciones y valores</t>
  </si>
  <si>
    <t>762.    ingresos. Cto. Partes vinculadas</t>
  </si>
  <si>
    <t>760. ingresos de participaciones financieras</t>
  </si>
  <si>
    <t>6620  intereses de deudas modelo 303</t>
  </si>
  <si>
    <t>621           Arrendamtentos y canones</t>
  </si>
  <si>
    <t xml:space="preserve">621-0       Arrendamientos </t>
  </si>
  <si>
    <t>3. Gastos personal</t>
  </si>
  <si>
    <t>2.            Otros gastos explotación</t>
  </si>
  <si>
    <t>731.Trabajos realizados para su inmovilizado material</t>
  </si>
  <si>
    <t>640-642.  Personal y seg social</t>
  </si>
  <si>
    <t>622.         Reparación y Conservación</t>
  </si>
  <si>
    <t>623.         Sev. Profesionales</t>
  </si>
  <si>
    <t>625          Seguros</t>
  </si>
  <si>
    <t>626          Sv. Bancarios</t>
  </si>
  <si>
    <t>628          Suministros</t>
  </si>
  <si>
    <t>629          Otros servicios</t>
  </si>
  <si>
    <t>631.         Otros tributos</t>
  </si>
  <si>
    <t>TOTAL COMPRAS MAS GASTOS</t>
  </si>
  <si>
    <t>Saldo mensual</t>
  </si>
  <si>
    <t>Saldo acumulado de tesoreria</t>
  </si>
  <si>
    <t>Pagos Impuesto Sociedades</t>
  </si>
  <si>
    <t>CANCELACION PRESTAMO</t>
  </si>
  <si>
    <t>PAGO CUOTA PRESTAMO</t>
  </si>
  <si>
    <t>621.        Arrendamientos y canones</t>
  </si>
  <si>
    <t>SALDO INICIAL</t>
  </si>
  <si>
    <t>TOTAL FACTURACIÓN</t>
  </si>
  <si>
    <t>740      Subvenciones explotación</t>
  </si>
  <si>
    <t>700 Importe neto cifra de negocios</t>
  </si>
  <si>
    <t xml:space="preserve">(710-610)      Variacion de existencias </t>
  </si>
  <si>
    <t>681.  Amortizaciones</t>
  </si>
  <si>
    <t xml:space="preserve">TOTAL INGRESOS DE EXPLOTACION    </t>
  </si>
  <si>
    <t>607.TRABAJOS REALIZADOS OTRAS EMPRESAS</t>
  </si>
  <si>
    <t>602. TOTAL COMPRAS DE APROVISIONAMIENTOS</t>
  </si>
  <si>
    <t>PROVEEDORES AÑO ANTERIOR</t>
  </si>
  <si>
    <t>602.             TOTAL COMPRAS</t>
  </si>
  <si>
    <t>MARGEN BRUTO EXPLOTACION (INGRESOS EXPL.-GTOS.VARIABLES)</t>
  </si>
  <si>
    <t>EBIT   ( MARGEN NETO EXPLOT.  (INGRESOS EXPL.-GTOS.VARIABLES-GTOS.FIJOS-AMORTIZACIONES)</t>
  </si>
  <si>
    <t>EBITDA  ( MARGEN NETO EXPLOT.  (INGRESOS EXPL.-GTOS.VARIABLES-GTOS.FIJOS))</t>
  </si>
  <si>
    <t xml:space="preserve">BENEFICIO NETO </t>
  </si>
  <si>
    <t>Lourdes Haro</t>
  </si>
  <si>
    <t>OTROS GASTOS EXPLOTACION</t>
  </si>
  <si>
    <t>Aceitunas de molino</t>
  </si>
  <si>
    <t>francisco morilla perito</t>
  </si>
  <si>
    <t>Paja</t>
  </si>
  <si>
    <t>Tecoal</t>
  </si>
  <si>
    <t>Loyse</t>
  </si>
  <si>
    <t>global olive</t>
  </si>
  <si>
    <t>Biloba 20 SL</t>
  </si>
  <si>
    <t>771. Enajenaciones del inmovilizado</t>
  </si>
  <si>
    <t>Otros Alquileres</t>
  </si>
  <si>
    <t>INVERSIÓNES</t>
  </si>
  <si>
    <t>CAIXA BANK leasing selectora</t>
  </si>
  <si>
    <t>BNP tractor leasing</t>
  </si>
  <si>
    <t>TOTAL PRESUPUESTADO</t>
  </si>
  <si>
    <t xml:space="preserve"> GASTOS EXPLOTACION </t>
  </si>
  <si>
    <r>
      <t>700-4    Ingresos</t>
    </r>
    <r>
      <rPr>
        <b/>
        <sz val="11"/>
        <rFont val="Calibri"/>
        <family val="2"/>
      </rPr>
      <t xml:space="preserve"> habas </t>
    </r>
  </si>
  <si>
    <r>
      <t xml:space="preserve">700-3    Ingresos </t>
    </r>
    <r>
      <rPr>
        <b/>
        <sz val="11"/>
        <rFont val="Calibri"/>
        <family val="2"/>
      </rPr>
      <t xml:space="preserve">Cebada </t>
    </r>
  </si>
  <si>
    <t>640    Sueldos y Salarios trabajadores</t>
  </si>
  <si>
    <t>Sueldos y Salarios Gerencia</t>
  </si>
  <si>
    <t>Seg Sociales Gerencia</t>
  </si>
  <si>
    <t>6623  Intereses Prestamo Ent credito</t>
  </si>
  <si>
    <t xml:space="preserve">     6290000000 OTROS SERVICIOS</t>
  </si>
  <si>
    <t xml:space="preserve">     6290000001 SERVICIOS VIGILANCIA</t>
  </si>
  <si>
    <t xml:space="preserve">     6290000002 SEGURIDAD E HIGIENE</t>
  </si>
  <si>
    <t xml:space="preserve">     6290000003 COMUNIDAD DE PROPIETARIOS</t>
  </si>
  <si>
    <t xml:space="preserve">     6290000005 SUPLIDOS</t>
  </si>
  <si>
    <t xml:space="preserve">     6290000006 OTROS GASTOS NO DEDUCIBLES</t>
  </si>
  <si>
    <t xml:space="preserve">     6290000007 ANALISIS</t>
  </si>
  <si>
    <t>Arrendamiento parcela Moron a GUEMACAES</t>
  </si>
  <si>
    <t>6230000000 SERVICIOS DE PROFESIONALES INDEPENDIENTES</t>
  </si>
  <si>
    <r>
      <t xml:space="preserve">700-8    Ingresos </t>
    </r>
    <r>
      <rPr>
        <b/>
        <sz val="11"/>
        <rFont val="Calibri"/>
        <family val="2"/>
      </rPr>
      <t>Trigo.        40,51 HAS * 3807,92 kg/ha * 0,28€/Kg</t>
    </r>
  </si>
  <si>
    <r>
      <t xml:space="preserve">700-2    Ingresos </t>
    </r>
    <r>
      <rPr>
        <b/>
        <sz val="11"/>
        <rFont val="Calibri"/>
        <family val="2"/>
      </rPr>
      <t>Girasol.    81,70 HAS *1179 kg/ha * 0,51/Kg</t>
    </r>
  </si>
  <si>
    <r>
      <t xml:space="preserve">Ingresos </t>
    </r>
    <r>
      <rPr>
        <b/>
        <sz val="11"/>
        <rFont val="Calibri"/>
        <family val="2"/>
      </rPr>
      <t>Guisantes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34,15 HAS * 1300kg ha * 0,30€/Kg</t>
    </r>
  </si>
  <si>
    <t>Francadoes</t>
  </si>
  <si>
    <t>MMGC</t>
  </si>
  <si>
    <t>MRGC</t>
  </si>
  <si>
    <t>FGC</t>
  </si>
  <si>
    <t>MDGC</t>
  </si>
  <si>
    <t>Oficina</t>
  </si>
  <si>
    <t>Fraccionamiento Impuesto Sociedades</t>
  </si>
  <si>
    <r>
      <t xml:space="preserve">700-5    Ingresos </t>
    </r>
    <r>
      <rPr>
        <b/>
        <sz val="11"/>
        <rFont val="Calibri"/>
        <family val="2"/>
      </rPr>
      <t>aceite.   (210.000Kg * 0,17 Transf  * 4,5€/Kg aceite)</t>
    </r>
  </si>
  <si>
    <r>
      <t xml:space="preserve">700-6    Ingresos aceituna </t>
    </r>
    <r>
      <rPr>
        <b/>
        <sz val="11"/>
        <rFont val="Calibri"/>
        <family val="2"/>
      </rPr>
      <t>manzanilla.    (496.411 KGS *1,36€/Kgs.))</t>
    </r>
  </si>
  <si>
    <r>
      <t xml:space="preserve">700-1    Ingresos Aceituna </t>
    </r>
    <r>
      <rPr>
        <b/>
        <sz val="11"/>
        <rFont val="Calibri"/>
        <family val="2"/>
      </rPr>
      <t>Gordal.    (78.401 kilos * 1,90€/Kg)</t>
    </r>
  </si>
  <si>
    <t>CUENTA DE EXPLOTACION         AÑO  2025     (ESCENARIO NORMAL)</t>
  </si>
  <si>
    <t>CASH FLOW FINANCIERO - CUENTA DE TESORERIA   2025   ESCENARIO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</si>
</sst>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* #,##0.00\ _€_-;\-* #,##0.00\ _€_-;_-* &quot;-&quot;??\ _€_-;_-@"/>
    <numFmt numFmtId="165" formatCode="#,##0.00_ ;[Red]\-#,##0.00\ "/>
  </numFmts>
  <fonts count="23" x14ac:knownFonts="1">
    <font>
      <sz val="11"/>
      <color rgb="FF000000"/>
      <name val="Calibri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</font>
    <font>
      <u/>
      <sz val="11"/>
      <color theme="11"/>
      <name val="Calibri"/>
      <family val="2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i/>
      <u/>
      <sz val="11"/>
      <name val="Calibri"/>
      <family val="2"/>
    </font>
    <font>
      <b/>
      <sz val="11"/>
      <color rgb="FFFF0000"/>
      <name val="Calibri"/>
      <family val="2"/>
    </font>
    <font>
      <b/>
      <i/>
      <sz val="11"/>
      <name val="Calibri"/>
      <family val="2"/>
    </font>
    <font>
      <i/>
      <u/>
      <sz val="11"/>
      <name val="Calibri"/>
      <family val="2"/>
    </font>
    <font>
      <i/>
      <sz val="11"/>
      <name val="Calibri"/>
      <family val="2"/>
    </font>
    <font>
      <b/>
      <sz val="11"/>
      <color rgb="FF000000"/>
      <name val="Calibri"/>
      <family val="2"/>
    </font>
    <font>
      <b/>
      <sz val="16"/>
      <color rgb="FFFF0000"/>
      <name val="Calibri"/>
      <family val="2"/>
    </font>
    <font>
      <sz val="11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6DDE8"/>
        <bgColor rgb="FFB6DDE8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rgb="FFEAF1DD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rgb="FFC2D69B"/>
      </top>
      <bottom/>
      <diagonal/>
    </border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rgb="FFC2D69B"/>
      </right>
      <top style="thin">
        <color rgb="FFC2D69B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rgb="FF000000"/>
      </right>
      <top/>
      <bottom/>
      <diagonal/>
    </border>
  </borders>
  <cellStyleXfs count="2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2"/>
  </cellStyleXfs>
  <cellXfs count="167">
    <xf numFmtId="0" fontId="0" fillId="0" borderId="0" xfId="0"/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2" xfId="0" applyFont="1" applyBorder="1"/>
    <xf numFmtId="4" fontId="6" fillId="0" borderId="0" xfId="0" applyNumberFormat="1" applyFont="1"/>
    <xf numFmtId="4" fontId="6" fillId="0" borderId="2" xfId="0" applyNumberFormat="1" applyFont="1" applyBorder="1"/>
    <xf numFmtId="0" fontId="5" fillId="0" borderId="5" xfId="0" applyFont="1" applyBorder="1"/>
    <xf numFmtId="0" fontId="5" fillId="0" borderId="2" xfId="0" applyFont="1" applyBorder="1"/>
    <xf numFmtId="0" fontId="6" fillId="0" borderId="5" xfId="0" applyFont="1" applyBorder="1"/>
    <xf numFmtId="0" fontId="6" fillId="0" borderId="13" xfId="0" applyFont="1" applyBorder="1"/>
    <xf numFmtId="0" fontId="7" fillId="0" borderId="0" xfId="0" applyFont="1"/>
    <xf numFmtId="0" fontId="8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0" fontId="8" fillId="4" borderId="1" xfId="0" applyFont="1" applyFill="1" applyBorder="1" applyAlignment="1">
      <alignment horizontal="center"/>
    </xf>
    <xf numFmtId="0" fontId="10" fillId="4" borderId="1" xfId="0" applyFont="1" applyFill="1" applyBorder="1"/>
    <xf numFmtId="0" fontId="8" fillId="4" borderId="1" xfId="0" applyFont="1" applyFill="1" applyBorder="1"/>
    <xf numFmtId="0" fontId="8" fillId="4" borderId="11" xfId="0" applyFont="1" applyFill="1" applyBorder="1"/>
    <xf numFmtId="0" fontId="11" fillId="0" borderId="2" xfId="0" applyFont="1" applyBorder="1" applyAlignment="1">
      <alignment horizontal="left"/>
    </xf>
    <xf numFmtId="0" fontId="9" fillId="0" borderId="2" xfId="0" applyFont="1" applyBorder="1" applyAlignment="1">
      <alignment horizontal="center"/>
    </xf>
    <xf numFmtId="0" fontId="11" fillId="0" borderId="2" xfId="0" applyFont="1" applyBorder="1"/>
    <xf numFmtId="0" fontId="11" fillId="0" borderId="14" xfId="0" applyFont="1" applyBorder="1"/>
    <xf numFmtId="0" fontId="11" fillId="0" borderId="2" xfId="0" applyFont="1" applyBorder="1" applyAlignment="1">
      <alignment horizontal="right"/>
    </xf>
    <xf numFmtId="0" fontId="12" fillId="7" borderId="3" xfId="0" applyFont="1" applyFill="1" applyBorder="1"/>
    <xf numFmtId="0" fontId="11" fillId="7" borderId="5" xfId="0" applyFont="1" applyFill="1" applyBorder="1"/>
    <xf numFmtId="4" fontId="9" fillId="7" borderId="6" xfId="0" applyNumberFormat="1" applyFont="1" applyFill="1" applyBorder="1"/>
    <xf numFmtId="4" fontId="9" fillId="0" borderId="2" xfId="0" applyNumberFormat="1" applyFont="1" applyBorder="1"/>
    <xf numFmtId="4" fontId="9" fillId="0" borderId="14" xfId="0" applyNumberFormat="1" applyFont="1" applyBorder="1"/>
    <xf numFmtId="4" fontId="11" fillId="0" borderId="2" xfId="0" applyNumberFormat="1" applyFont="1" applyBorder="1"/>
    <xf numFmtId="4" fontId="11" fillId="0" borderId="14" xfId="0" applyNumberFormat="1" applyFont="1" applyBorder="1"/>
    <xf numFmtId="4" fontId="11" fillId="0" borderId="10" xfId="0" applyNumberFormat="1" applyFont="1" applyBorder="1"/>
    <xf numFmtId="4" fontId="11" fillId="0" borderId="9" xfId="0" applyNumberFormat="1" applyFont="1" applyBorder="1"/>
    <xf numFmtId="4" fontId="11" fillId="0" borderId="16" xfId="0" applyNumberFormat="1" applyFont="1" applyBorder="1"/>
    <xf numFmtId="0" fontId="10" fillId="0" borderId="2" xfId="0" applyFont="1" applyBorder="1"/>
    <xf numFmtId="0" fontId="9" fillId="0" borderId="2" xfId="0" applyFont="1" applyBorder="1"/>
    <xf numFmtId="0" fontId="12" fillId="0" borderId="3" xfId="0" applyFont="1" applyBorder="1"/>
    <xf numFmtId="0" fontId="11" fillId="0" borderId="5" xfId="0" applyFont="1" applyBorder="1"/>
    <xf numFmtId="4" fontId="9" fillId="0" borderId="6" xfId="0" applyNumberFormat="1" applyFont="1" applyBorder="1"/>
    <xf numFmtId="4" fontId="9" fillId="0" borderId="5" xfId="0" applyNumberFormat="1" applyFont="1" applyBorder="1"/>
    <xf numFmtId="4" fontId="9" fillId="0" borderId="17" xfId="0" applyNumberFormat="1" applyFont="1" applyBorder="1"/>
    <xf numFmtId="0" fontId="9" fillId="9" borderId="3" xfId="0" applyFont="1" applyFill="1" applyBorder="1"/>
    <xf numFmtId="0" fontId="9" fillId="9" borderId="5" xfId="0" applyFont="1" applyFill="1" applyBorder="1"/>
    <xf numFmtId="4" fontId="9" fillId="9" borderId="6" xfId="0" applyNumberFormat="1" applyFont="1" applyFill="1" applyBorder="1"/>
    <xf numFmtId="0" fontId="12" fillId="12" borderId="2" xfId="0" applyFont="1" applyFill="1" applyBorder="1"/>
    <xf numFmtId="4" fontId="9" fillId="12" borderId="14" xfId="0" applyNumberFormat="1" applyFont="1" applyFill="1" applyBorder="1"/>
    <xf numFmtId="0" fontId="14" fillId="0" borderId="2" xfId="0" applyFont="1" applyBorder="1" applyAlignment="1">
      <alignment horizontal="left"/>
    </xf>
    <xf numFmtId="0" fontId="15" fillId="0" borderId="2" xfId="0" applyFont="1" applyBorder="1"/>
    <xf numFmtId="4" fontId="11" fillId="0" borderId="2" xfId="0" applyNumberFormat="1" applyFont="1" applyBorder="1" applyAlignment="1">
      <alignment horizontal="right"/>
    </xf>
    <xf numFmtId="164" fontId="11" fillId="0" borderId="2" xfId="0" applyNumberFormat="1" applyFont="1" applyBorder="1"/>
    <xf numFmtId="0" fontId="9" fillId="12" borderId="2" xfId="0" applyFont="1" applyFill="1" applyBorder="1"/>
    <xf numFmtId="4" fontId="9" fillId="12" borderId="2" xfId="0" applyNumberFormat="1" applyFont="1" applyFill="1" applyBorder="1"/>
    <xf numFmtId="4" fontId="11" fillId="8" borderId="9" xfId="0" applyNumberFormat="1" applyFont="1" applyFill="1" applyBorder="1"/>
    <xf numFmtId="4" fontId="11" fillId="8" borderId="7" xfId="0" applyNumberFormat="1" applyFont="1" applyFill="1" applyBorder="1"/>
    <xf numFmtId="4" fontId="11" fillId="0" borderId="5" xfId="0" applyNumberFormat="1" applyFont="1" applyBorder="1"/>
    <xf numFmtId="4" fontId="11" fillId="0" borderId="6" xfId="0" applyNumberFormat="1" applyFont="1" applyBorder="1"/>
    <xf numFmtId="0" fontId="12" fillId="6" borderId="3" xfId="0" applyFont="1" applyFill="1" applyBorder="1"/>
    <xf numFmtId="0" fontId="11" fillId="6" borderId="5" xfId="0" applyFont="1" applyFill="1" applyBorder="1"/>
    <xf numFmtId="4" fontId="9" fillId="6" borderId="6" xfId="0" applyNumberFormat="1" applyFont="1" applyFill="1" applyBorder="1"/>
    <xf numFmtId="0" fontId="9" fillId="0" borderId="5" xfId="0" applyFont="1" applyBorder="1"/>
    <xf numFmtId="0" fontId="16" fillId="0" borderId="2" xfId="0" applyFont="1" applyBorder="1"/>
    <xf numFmtId="0" fontId="9" fillId="11" borderId="3" xfId="0" applyFont="1" applyFill="1" applyBorder="1"/>
    <xf numFmtId="0" fontId="11" fillId="11" borderId="5" xfId="0" applyFont="1" applyFill="1" applyBorder="1"/>
    <xf numFmtId="165" fontId="11" fillId="11" borderId="5" xfId="0" applyNumberFormat="1" applyFont="1" applyFill="1" applyBorder="1"/>
    <xf numFmtId="165" fontId="11" fillId="11" borderId="6" xfId="0" applyNumberFormat="1" applyFont="1" applyFill="1" applyBorder="1"/>
    <xf numFmtId="0" fontId="9" fillId="3" borderId="3" xfId="0" applyFont="1" applyFill="1" applyBorder="1"/>
    <xf numFmtId="0" fontId="9" fillId="3" borderId="5" xfId="0" applyFont="1" applyFill="1" applyBorder="1"/>
    <xf numFmtId="165" fontId="9" fillId="3" borderId="6" xfId="0" applyNumberFormat="1" applyFont="1" applyFill="1" applyBorder="1"/>
    <xf numFmtId="0" fontId="17" fillId="2" borderId="2" xfId="0" applyFont="1" applyFill="1" applyBorder="1"/>
    <xf numFmtId="164" fontId="17" fillId="2" borderId="2" xfId="0" applyNumberFormat="1" applyFont="1" applyFill="1" applyBorder="1"/>
    <xf numFmtId="0" fontId="17" fillId="10" borderId="0" xfId="0" applyFont="1" applyFill="1" applyAlignment="1">
      <alignment horizontal="center"/>
    </xf>
    <xf numFmtId="4" fontId="17" fillId="10" borderId="0" xfId="0" applyNumberFormat="1" applyFont="1" applyFill="1"/>
    <xf numFmtId="0" fontId="7" fillId="0" borderId="2" xfId="0" applyFont="1" applyBorder="1" applyAlignment="1">
      <alignment horizontal="center"/>
    </xf>
    <xf numFmtId="164" fontId="17" fillId="0" borderId="9" xfId="0" applyNumberFormat="1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17" fillId="0" borderId="3" xfId="0" applyFont="1" applyBorder="1"/>
    <xf numFmtId="0" fontId="7" fillId="0" borderId="5" xfId="0" applyFont="1" applyBorder="1"/>
    <xf numFmtId="4" fontId="17" fillId="0" borderId="6" xfId="0" applyNumberFormat="1" applyFont="1" applyBorder="1"/>
    <xf numFmtId="0" fontId="17" fillId="0" borderId="12" xfId="0" applyFont="1" applyBorder="1"/>
    <xf numFmtId="0" fontId="7" fillId="0" borderId="13" xfId="0" applyFont="1" applyBorder="1"/>
    <xf numFmtId="4" fontId="7" fillId="0" borderId="15" xfId="0" applyNumberFormat="1" applyFont="1" applyBorder="1"/>
    <xf numFmtId="0" fontId="17" fillId="10" borderId="2" xfId="0" applyFont="1" applyFill="1" applyBorder="1"/>
    <xf numFmtId="0" fontId="7" fillId="10" borderId="2" xfId="0" applyFont="1" applyFill="1" applyBorder="1"/>
    <xf numFmtId="4" fontId="9" fillId="10" borderId="14" xfId="0" applyNumberFormat="1" applyFont="1" applyFill="1" applyBorder="1"/>
    <xf numFmtId="4" fontId="7" fillId="10" borderId="14" xfId="0" applyNumberFormat="1" applyFont="1" applyFill="1" applyBorder="1"/>
    <xf numFmtId="0" fontId="17" fillId="10" borderId="3" xfId="0" applyFont="1" applyFill="1" applyBorder="1" applyAlignment="1">
      <alignment horizontal="center"/>
    </xf>
    <xf numFmtId="0" fontId="7" fillId="10" borderId="5" xfId="0" applyFont="1" applyFill="1" applyBorder="1"/>
    <xf numFmtId="4" fontId="9" fillId="10" borderId="6" xfId="0" applyNumberFormat="1" applyFont="1" applyFill="1" applyBorder="1"/>
    <xf numFmtId="0" fontId="17" fillId="0" borderId="8" xfId="0" applyFont="1" applyBorder="1" applyAlignment="1">
      <alignment horizontal="left"/>
    </xf>
    <xf numFmtId="0" fontId="7" fillId="0" borderId="7" xfId="0" applyFont="1" applyBorder="1"/>
    <xf numFmtId="4" fontId="10" fillId="0" borderId="9" xfId="0" applyNumberFormat="1" applyFont="1" applyBorder="1"/>
    <xf numFmtId="0" fontId="17" fillId="0" borderId="10" xfId="0" applyFont="1" applyBorder="1"/>
    <xf numFmtId="0" fontId="7" fillId="0" borderId="2" xfId="0" applyFont="1" applyBorder="1"/>
    <xf numFmtId="4" fontId="10" fillId="0" borderId="14" xfId="0" applyNumberFormat="1" applyFont="1" applyBorder="1"/>
    <xf numFmtId="4" fontId="7" fillId="0" borderId="14" xfId="0" applyNumberFormat="1" applyFont="1" applyBorder="1"/>
    <xf numFmtId="0" fontId="9" fillId="0" borderId="10" xfId="0" applyFont="1" applyBorder="1"/>
    <xf numFmtId="4" fontId="13" fillId="0" borderId="15" xfId="0" applyNumberFormat="1" applyFont="1" applyBorder="1"/>
    <xf numFmtId="0" fontId="9" fillId="5" borderId="3" xfId="0" applyFont="1" applyFill="1" applyBorder="1"/>
    <xf numFmtId="0" fontId="7" fillId="5" borderId="5" xfId="0" applyFont="1" applyFill="1" applyBorder="1"/>
    <xf numFmtId="4" fontId="7" fillId="5" borderId="5" xfId="0" applyNumberFormat="1" applyFont="1" applyFill="1" applyBorder="1"/>
    <xf numFmtId="4" fontId="7" fillId="5" borderId="4" xfId="0" applyNumberFormat="1" applyFont="1" applyFill="1" applyBorder="1"/>
    <xf numFmtId="4" fontId="7" fillId="0" borderId="14" xfId="0" applyNumberFormat="1" applyFont="1" applyBorder="1" applyAlignment="1">
      <alignment horizontal="right"/>
    </xf>
    <xf numFmtId="0" fontId="9" fillId="10" borderId="2" xfId="0" applyFont="1" applyFill="1" applyBorder="1"/>
    <xf numFmtId="0" fontId="7" fillId="10" borderId="0" xfId="0" applyFont="1" applyFill="1"/>
    <xf numFmtId="0" fontId="9" fillId="10" borderId="3" xfId="0" applyFont="1" applyFill="1" applyBorder="1"/>
    <xf numFmtId="4" fontId="7" fillId="10" borderId="6" xfId="0" applyNumberFormat="1" applyFont="1" applyFill="1" applyBorder="1"/>
    <xf numFmtId="0" fontId="9" fillId="0" borderId="8" xfId="0" applyFont="1" applyBorder="1"/>
    <xf numFmtId="0" fontId="11" fillId="0" borderId="7" xfId="0" applyFont="1" applyBorder="1"/>
    <xf numFmtId="4" fontId="7" fillId="0" borderId="9" xfId="0" applyNumberFormat="1" applyFont="1" applyBorder="1"/>
    <xf numFmtId="0" fontId="11" fillId="3" borderId="5" xfId="0" applyFont="1" applyFill="1" applyBorder="1"/>
    <xf numFmtId="4" fontId="7" fillId="3" borderId="6" xfId="0" applyNumberFormat="1" applyFont="1" applyFill="1" applyBorder="1"/>
    <xf numFmtId="0" fontId="9" fillId="0" borderId="7" xfId="0" applyFont="1" applyBorder="1"/>
    <xf numFmtId="4" fontId="7" fillId="0" borderId="18" xfId="0" applyNumberFormat="1" applyFont="1" applyBorder="1"/>
    <xf numFmtId="4" fontId="7" fillId="0" borderId="16" xfId="0" applyNumberFormat="1" applyFont="1" applyBorder="1"/>
    <xf numFmtId="0" fontId="17" fillId="0" borderId="13" xfId="0" applyFont="1" applyBorder="1"/>
    <xf numFmtId="0" fontId="12" fillId="0" borderId="8" xfId="0" applyFont="1" applyBorder="1"/>
    <xf numFmtId="0" fontId="9" fillId="0" borderId="12" xfId="0" applyFont="1" applyBorder="1"/>
    <xf numFmtId="0" fontId="11" fillId="0" borderId="13" xfId="0" applyFont="1" applyBorder="1"/>
    <xf numFmtId="165" fontId="7" fillId="0" borderId="15" xfId="0" applyNumberFormat="1" applyFont="1" applyBorder="1"/>
    <xf numFmtId="0" fontId="11" fillId="3" borderId="8" xfId="0" applyFont="1" applyFill="1" applyBorder="1"/>
    <xf numFmtId="0" fontId="11" fillId="3" borderId="7" xfId="0" applyFont="1" applyFill="1" applyBorder="1"/>
    <xf numFmtId="4" fontId="7" fillId="3" borderId="9" xfId="0" applyNumberFormat="1" applyFont="1" applyFill="1" applyBorder="1"/>
    <xf numFmtId="0" fontId="9" fillId="3" borderId="12" xfId="0" applyFont="1" applyFill="1" applyBorder="1"/>
    <xf numFmtId="0" fontId="11" fillId="3" borderId="13" xfId="0" applyFont="1" applyFill="1" applyBorder="1"/>
    <xf numFmtId="4" fontId="7" fillId="3" borderId="15" xfId="0" applyNumberFormat="1" applyFont="1" applyFill="1" applyBorder="1"/>
    <xf numFmtId="4" fontId="7" fillId="0" borderId="2" xfId="0" applyNumberFormat="1" applyFont="1" applyBorder="1"/>
    <xf numFmtId="4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7" fillId="0" borderId="16" xfId="0" applyFont="1" applyBorder="1"/>
    <xf numFmtId="4" fontId="7" fillId="0" borderId="0" xfId="0" applyNumberFormat="1" applyFont="1"/>
    <xf numFmtId="165" fontId="9" fillId="7" borderId="6" xfId="0" applyNumberFormat="1" applyFont="1" applyFill="1" applyBorder="1" applyAlignment="1">
      <alignment horizontal="center"/>
    </xf>
    <xf numFmtId="165" fontId="9" fillId="0" borderId="14" xfId="0" applyNumberFormat="1" applyFont="1" applyBorder="1" applyAlignment="1">
      <alignment horizontal="center"/>
    </xf>
    <xf numFmtId="165" fontId="11" fillId="0" borderId="14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9" borderId="6" xfId="0" applyNumberFormat="1" applyFont="1" applyFill="1" applyBorder="1" applyAlignment="1">
      <alignment horizontal="center"/>
    </xf>
    <xf numFmtId="165" fontId="9" fillId="12" borderId="14" xfId="0" applyNumberFormat="1" applyFont="1" applyFill="1" applyBorder="1" applyAlignment="1">
      <alignment horizontal="center"/>
    </xf>
    <xf numFmtId="165" fontId="9" fillId="6" borderId="6" xfId="0" applyNumberFormat="1" applyFont="1" applyFill="1" applyBorder="1" applyAlignment="1">
      <alignment horizontal="center"/>
    </xf>
    <xf numFmtId="165" fontId="9" fillId="11" borderId="6" xfId="0" applyNumberFormat="1" applyFont="1" applyFill="1" applyBorder="1" applyAlignment="1">
      <alignment horizontal="center"/>
    </xf>
    <xf numFmtId="165" fontId="9" fillId="3" borderId="6" xfId="0" applyNumberFormat="1" applyFont="1" applyFill="1" applyBorder="1" applyAlignment="1">
      <alignment horizont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center"/>
    </xf>
    <xf numFmtId="164" fontId="9" fillId="0" borderId="6" xfId="0" applyNumberFormat="1" applyFont="1" applyBorder="1" applyAlignment="1">
      <alignment horizontal="center"/>
    </xf>
    <xf numFmtId="4" fontId="10" fillId="0" borderId="0" xfId="0" applyNumberFormat="1" applyFont="1"/>
    <xf numFmtId="0" fontId="9" fillId="8" borderId="3" xfId="0" applyFont="1" applyFill="1" applyBorder="1"/>
    <xf numFmtId="0" fontId="9" fillId="8" borderId="7" xfId="0" applyFont="1" applyFill="1" applyBorder="1"/>
    <xf numFmtId="4" fontId="9" fillId="0" borderId="14" xfId="0" applyNumberFormat="1" applyFont="1" applyBorder="1" applyAlignment="1">
      <alignment horizontal="center"/>
    </xf>
    <xf numFmtId="0" fontId="9" fillId="13" borderId="2" xfId="0" applyFont="1" applyFill="1" applyBorder="1"/>
    <xf numFmtId="165" fontId="9" fillId="13" borderId="14" xfId="0" applyNumberFormat="1" applyFont="1" applyFill="1" applyBorder="1" applyAlignment="1">
      <alignment horizontal="center"/>
    </xf>
    <xf numFmtId="4" fontId="9" fillId="13" borderId="14" xfId="0" applyNumberFormat="1" applyFont="1" applyFill="1" applyBorder="1"/>
    <xf numFmtId="165" fontId="7" fillId="3" borderId="15" xfId="0" applyNumberFormat="1" applyFont="1" applyFill="1" applyBorder="1"/>
    <xf numFmtId="165" fontId="17" fillId="3" borderId="15" xfId="0" applyNumberFormat="1" applyFont="1" applyFill="1" applyBorder="1"/>
    <xf numFmtId="4" fontId="10" fillId="0" borderId="2" xfId="0" applyNumberFormat="1" applyFont="1" applyBorder="1"/>
    <xf numFmtId="4" fontId="18" fillId="0" borderId="0" xfId="0" applyNumberFormat="1" applyFont="1"/>
    <xf numFmtId="4" fontId="17" fillId="0" borderId="0" xfId="0" applyNumberFormat="1" applyFont="1"/>
    <xf numFmtId="4" fontId="11" fillId="0" borderId="2" xfId="25" applyNumberFormat="1" applyFont="1"/>
    <xf numFmtId="4" fontId="11" fillId="0" borderId="14" xfId="25" applyNumberFormat="1" applyFont="1" applyBorder="1"/>
    <xf numFmtId="0" fontId="12" fillId="14" borderId="3" xfId="0" applyFont="1" applyFill="1" applyBorder="1"/>
    <xf numFmtId="0" fontId="12" fillId="14" borderId="5" xfId="0" applyFont="1" applyFill="1" applyBorder="1"/>
    <xf numFmtId="165" fontId="9" fillId="14" borderId="6" xfId="0" applyNumberFormat="1" applyFont="1" applyFill="1" applyBorder="1" applyAlignment="1">
      <alignment horizontal="center"/>
    </xf>
    <xf numFmtId="4" fontId="9" fillId="14" borderId="6" xfId="0" applyNumberFormat="1" applyFont="1" applyFill="1" applyBorder="1"/>
    <xf numFmtId="0" fontId="10" fillId="0" borderId="0" xfId="0" applyFont="1"/>
    <xf numFmtId="4" fontId="10" fillId="0" borderId="16" xfId="0" applyNumberFormat="1" applyFont="1" applyBorder="1"/>
    <xf numFmtId="4" fontId="19" fillId="0" borderId="14" xfId="0" applyNumberFormat="1" applyFont="1" applyBorder="1"/>
    <xf numFmtId="4" fontId="19" fillId="0" borderId="2" xfId="0" applyNumberFormat="1" applyFont="1" applyBorder="1"/>
    <xf numFmtId="4" fontId="19" fillId="0" borderId="16" xfId="0" applyNumberFormat="1" applyFont="1" applyBorder="1"/>
    <xf numFmtId="0" fontId="19" fillId="0" borderId="0" xfId="0" applyFont="1"/>
    <xf numFmtId="165" fontId="22" fillId="8" borderId="9" xfId="0" applyNumberFormat="1" applyFont="1" applyFill="1" applyBorder="1" applyAlignment="1">
      <alignment horizontal="center"/>
    </xf>
  </cellXfs>
  <cellStyles count="26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Normal" xfId="0" builtinId="0"/>
    <cellStyle name="Normal 2" xfId="25" xr:uid="{00000000-0005-0000-0000-000019000000}"/>
  </cellStyles>
  <dxfs count="6">
    <dxf>
      <fill>
        <patternFill patternType="solid">
          <fgColor rgb="FFDBE5F1"/>
          <bgColor rgb="FFDBE5F1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EAF1DD"/>
          <bgColor rgb="FFEAF1DD"/>
        </patternFill>
      </fill>
    </dxf>
  </dxfs>
  <tableStyles count="3" defaultPivotStyle="PivotStyleMedium7">
    <tableStyle name="FRANCADOES-style" pivot="0" count="2" xr9:uid="{00000000-0011-0000-FFFF-FFFF00000000}">
      <tableStyleElement type="firstRowStripe" dxfId="5"/>
      <tableStyleElement type="secondRowStripe" dxfId="4"/>
    </tableStyle>
    <tableStyle name="GUEMACAES-style" pivot="0" count="2" xr9:uid="{00000000-0011-0000-FFFF-FFFF01000000}">
      <tableStyleElement type="firstRowStripe" dxfId="3"/>
      <tableStyleElement type="secondRowStripe" dxfId="2"/>
    </tableStyle>
    <tableStyle name="GUERRERO CORPORACIO-style" pivot="0" count="2" xr9:uid="{00000000-0011-0000-FFFF-FFFF02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'Escenario 2025 NORMAL'!$D$3:$O$3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'Escenario 2025 NORMAL'!$D$133:$O$133</c:f>
              <c:numCache>
                <c:formatCode>#,##0.00_ ;[Red]\-#,##0.00\ </c:formatCode>
                <c:ptCount val="12"/>
                <c:pt idx="0">
                  <c:v>78083.312067399995</c:v>
                </c:pt>
                <c:pt idx="1">
                  <c:v>121039.99443179999</c:v>
                </c:pt>
                <c:pt idx="2">
                  <c:v>331782.57548180001</c:v>
                </c:pt>
                <c:pt idx="3">
                  <c:v>374713.04885180003</c:v>
                </c:pt>
                <c:pt idx="4">
                  <c:v>412326.64725180005</c:v>
                </c:pt>
                <c:pt idx="5">
                  <c:v>433763.97858180007</c:v>
                </c:pt>
                <c:pt idx="6">
                  <c:v>588689.49863860011</c:v>
                </c:pt>
                <c:pt idx="7">
                  <c:v>774748.5657086001</c:v>
                </c:pt>
                <c:pt idx="8">
                  <c:v>746691.09403420007</c:v>
                </c:pt>
                <c:pt idx="9">
                  <c:v>605032.9280342001</c:v>
                </c:pt>
                <c:pt idx="10">
                  <c:v>477122.24283420015</c:v>
                </c:pt>
                <c:pt idx="11">
                  <c:v>400477.66284000018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44-4B99-BF2A-944F709EB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558656"/>
        <c:axId val="117753344"/>
      </c:lineChart>
      <c:catAx>
        <c:axId val="11755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753344"/>
        <c:crosses val="autoZero"/>
        <c:auto val="1"/>
        <c:lblAlgn val="ctr"/>
        <c:lblOffset val="100"/>
        <c:noMultiLvlLbl val="0"/>
      </c:catAx>
      <c:valAx>
        <c:axId val="11775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5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333375</xdr:colOff>
      <xdr:row>133</xdr:row>
      <xdr:rowOff>144462</xdr:rowOff>
    </xdr:from>
    <xdr:to>
      <xdr:col>15</xdr:col>
      <xdr:colOff>0</xdr:colOff>
      <xdr:row>165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J985"/>
  <sheetViews>
    <sheetView showGridLines="0" tabSelected="1" zoomScale="80" zoomScaleNormal="80" zoomScalePageLayoutView="7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103" sqref="A103"/>
    </sheetView>
  </sheetViews>
  <sheetFormatPr baseColWidth="10" defaultColWidth="14.42578125" defaultRowHeight="15" customHeight="1" outlineLevelRow="2" outlineLevelCol="1" x14ac:dyDescent="0.35"/>
  <cols>
    <col min="1" max="1" width="31" style="10" customWidth="1"/>
    <col min="2" max="2" width="34.5703125" style="10" customWidth="1"/>
    <col min="3" max="3" width="24" style="10" customWidth="1"/>
    <col min="4" max="4" width="12.7109375" style="10" customWidth="1" outlineLevel="1"/>
    <col min="5" max="5" width="12.85546875" style="10" customWidth="1" outlineLevel="1"/>
    <col min="6" max="6" width="11.85546875" style="10" customWidth="1" outlineLevel="1"/>
    <col min="7" max="7" width="12.85546875" style="10" customWidth="1" outlineLevel="1"/>
    <col min="8" max="8" width="11.5703125" style="10" customWidth="1" outlineLevel="1"/>
    <col min="9" max="9" width="13.7109375" style="10" customWidth="1" outlineLevel="1"/>
    <col min="10" max="10" width="13.85546875" style="10" customWidth="1" outlineLevel="1"/>
    <col min="11" max="11" width="15" style="10" customWidth="1" outlineLevel="1"/>
    <col min="12" max="12" width="13.28515625" style="10" customWidth="1" outlineLevel="1"/>
    <col min="13" max="13" width="13.140625" style="10" customWidth="1" outlineLevel="1"/>
    <col min="14" max="14" width="13" style="10" customWidth="1" outlineLevel="1"/>
    <col min="15" max="15" width="13.7109375" style="10" customWidth="1" outlineLevel="1"/>
    <col min="16" max="18" width="10.7109375" style="10" customWidth="1"/>
    <col min="19" max="28" width="14.42578125" style="10"/>
    <col min="29" max="16384" width="14.42578125" style="2"/>
  </cols>
  <sheetData>
    <row r="1" spans="1:33" ht="26.1" hidden="1" customHeight="1" x14ac:dyDescent="0.35"/>
    <row r="2" spans="1:33" ht="26.1" customHeight="1" thickBot="1" x14ac:dyDescent="0.4">
      <c r="A2" s="11"/>
      <c r="B2" s="12" t="s">
        <v>128</v>
      </c>
      <c r="C2" s="11"/>
      <c r="D2" s="13"/>
      <c r="E2" s="14"/>
      <c r="F2" s="14"/>
      <c r="G2" s="15"/>
      <c r="H2" s="15"/>
      <c r="I2" s="15"/>
      <c r="J2" s="15"/>
      <c r="K2" s="15"/>
      <c r="L2" s="15"/>
      <c r="M2" s="15"/>
      <c r="N2" s="15"/>
      <c r="O2" s="16"/>
    </row>
    <row r="3" spans="1:33" ht="15.95" customHeight="1" thickBot="1" x14ac:dyDescent="0.4">
      <c r="A3" s="17"/>
      <c r="B3" s="18"/>
      <c r="C3" s="141" t="s">
        <v>98</v>
      </c>
      <c r="D3" s="139" t="s">
        <v>5</v>
      </c>
      <c r="E3" s="140" t="s">
        <v>6</v>
      </c>
      <c r="F3" s="140" t="s">
        <v>7</v>
      </c>
      <c r="G3" s="140" t="s">
        <v>8</v>
      </c>
      <c r="H3" s="140" t="s">
        <v>9</v>
      </c>
      <c r="I3" s="140" t="s">
        <v>10</v>
      </c>
      <c r="J3" s="140" t="s">
        <v>11</v>
      </c>
      <c r="K3" s="140" t="s">
        <v>12</v>
      </c>
      <c r="L3" s="140" t="s">
        <v>13</v>
      </c>
      <c r="M3" s="140" t="s">
        <v>14</v>
      </c>
      <c r="N3" s="140" t="s">
        <v>15</v>
      </c>
      <c r="O3" s="140" t="s">
        <v>16</v>
      </c>
    </row>
    <row r="4" spans="1:33" ht="0.95" customHeight="1" thickBot="1" x14ac:dyDescent="0.4">
      <c r="A4" s="19"/>
      <c r="B4" s="19"/>
      <c r="C4" s="20"/>
      <c r="D4" s="21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5" spans="1:33" s="3" customFormat="1" ht="24.95" customHeight="1" thickBot="1" x14ac:dyDescent="0.4">
      <c r="A5" s="22" t="s">
        <v>75</v>
      </c>
      <c r="B5" s="23"/>
      <c r="C5" s="130">
        <f>C6+C17+C18+C19</f>
        <v>918297.63797600009</v>
      </c>
      <c r="D5" s="24">
        <f>SUM(D6:D19)</f>
        <v>0</v>
      </c>
      <c r="E5" s="24">
        <f>SUM(E6:E19)</f>
        <v>1615.76</v>
      </c>
      <c r="F5" s="24">
        <f t="shared" ref="F5:O5" si="0">SUM(F6:F19)</f>
        <v>42049</v>
      </c>
      <c r="G5" s="24">
        <f t="shared" si="0"/>
        <v>15125.37</v>
      </c>
      <c r="H5" s="24">
        <f t="shared" si="0"/>
        <v>0</v>
      </c>
      <c r="I5" s="24">
        <f t="shared" si="0"/>
        <v>0</v>
      </c>
      <c r="J5" s="24">
        <f t="shared" si="0"/>
        <v>15006.39</v>
      </c>
      <c r="K5" s="24">
        <f t="shared" si="0"/>
        <v>0</v>
      </c>
      <c r="L5" s="24">
        <f t="shared" si="0"/>
        <v>92317.867976000009</v>
      </c>
      <c r="M5" s="24">
        <f t="shared" si="0"/>
        <v>33428.47</v>
      </c>
      <c r="N5" s="24">
        <f t="shared" si="0"/>
        <v>16374.29</v>
      </c>
      <c r="O5" s="24">
        <f t="shared" si="0"/>
        <v>702380.49</v>
      </c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</row>
    <row r="6" spans="1:33" ht="20.100000000000001" hidden="1" customHeight="1" outlineLevel="1" x14ac:dyDescent="0.35">
      <c r="A6" s="25" t="s">
        <v>72</v>
      </c>
      <c r="B6" s="19"/>
      <c r="C6" s="131">
        <f>SUM(C7:C16)</f>
        <v>294856.86797600001</v>
      </c>
      <c r="D6" s="27"/>
      <c r="E6" s="28"/>
      <c r="F6" s="28"/>
      <c r="G6" s="28"/>
      <c r="H6" s="28"/>
      <c r="I6" s="29"/>
      <c r="J6" s="30"/>
      <c r="K6" s="27"/>
      <c r="L6" s="30"/>
      <c r="M6" s="31"/>
      <c r="N6" s="28"/>
      <c r="O6" s="28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4"/>
      <c r="AD6" s="4"/>
      <c r="AE6" s="4"/>
      <c r="AF6" s="4"/>
      <c r="AG6" s="4"/>
    </row>
    <row r="7" spans="1:33" ht="21" hidden="1" customHeight="1" outlineLevel="1" x14ac:dyDescent="0.35">
      <c r="A7" s="19" t="s">
        <v>115</v>
      </c>
      <c r="B7" s="32"/>
      <c r="C7" s="131">
        <f>40.51*3807.92*0.28</f>
        <v>43192.474975999998</v>
      </c>
      <c r="D7" s="27"/>
      <c r="E7" s="28"/>
      <c r="F7" s="28"/>
      <c r="G7" s="28"/>
      <c r="H7" s="28"/>
      <c r="I7" s="29"/>
      <c r="J7" s="162"/>
      <c r="K7" s="163"/>
      <c r="L7" s="162">
        <f>C7-J7</f>
        <v>43192.474975999998</v>
      </c>
      <c r="M7" s="31"/>
      <c r="N7" s="28"/>
      <c r="O7" s="28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4"/>
      <c r="AD7" s="4"/>
      <c r="AE7" s="4"/>
      <c r="AF7" s="4"/>
      <c r="AG7" s="4"/>
    </row>
    <row r="8" spans="1:33" ht="18.95" hidden="1" customHeight="1" outlineLevel="1" x14ac:dyDescent="0.35">
      <c r="A8" s="19" t="s">
        <v>116</v>
      </c>
      <c r="B8" s="32"/>
      <c r="C8" s="131">
        <f>81.7*1179*0.51</f>
        <v>49125.393000000004</v>
      </c>
      <c r="D8" s="27"/>
      <c r="E8" s="28"/>
      <c r="F8" s="28"/>
      <c r="G8" s="28"/>
      <c r="H8" s="28"/>
      <c r="I8" s="29"/>
      <c r="J8" s="162"/>
      <c r="K8" s="162"/>
      <c r="L8" s="164">
        <f>C8</f>
        <v>49125.393000000004</v>
      </c>
      <c r="N8" s="28"/>
      <c r="O8" s="28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4"/>
      <c r="AD8" s="4"/>
      <c r="AE8" s="4"/>
      <c r="AF8" s="4"/>
      <c r="AG8" s="4"/>
    </row>
    <row r="9" spans="1:33" ht="18.95" hidden="1" customHeight="1" outlineLevel="1" x14ac:dyDescent="0.35">
      <c r="A9" s="19" t="s">
        <v>101</v>
      </c>
      <c r="B9" s="32"/>
      <c r="C9" s="131"/>
      <c r="D9" s="27"/>
      <c r="E9" s="28"/>
      <c r="F9" s="28"/>
      <c r="G9" s="28"/>
      <c r="H9" s="28"/>
      <c r="I9" s="29"/>
      <c r="J9" s="162"/>
      <c r="K9" s="163"/>
      <c r="L9" s="162"/>
      <c r="M9" s="31"/>
      <c r="N9" s="28"/>
      <c r="O9" s="28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4"/>
      <c r="AD9" s="4"/>
      <c r="AE9" s="4"/>
      <c r="AF9" s="4"/>
      <c r="AG9" s="4"/>
    </row>
    <row r="10" spans="1:33" ht="23.1" hidden="1" customHeight="1" outlineLevel="1" x14ac:dyDescent="0.35">
      <c r="A10" s="19" t="s">
        <v>126</v>
      </c>
      <c r="B10" s="32"/>
      <c r="C10" s="131">
        <f>SUM(D10:O10)</f>
        <v>0</v>
      </c>
      <c r="D10" s="27"/>
      <c r="E10" s="28"/>
      <c r="F10" s="28"/>
      <c r="G10" s="28"/>
      <c r="H10" s="28"/>
      <c r="I10" s="29"/>
      <c r="J10" s="162"/>
      <c r="K10" s="163"/>
      <c r="L10" s="162"/>
      <c r="M10" s="91"/>
      <c r="N10" s="161"/>
      <c r="O10" s="162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4"/>
      <c r="AD10" s="4"/>
      <c r="AE10" s="4"/>
      <c r="AF10" s="4"/>
      <c r="AG10" s="4"/>
    </row>
    <row r="11" spans="1:33" ht="17.100000000000001" hidden="1" customHeight="1" outlineLevel="1" x14ac:dyDescent="0.35">
      <c r="A11" s="19" t="s">
        <v>127</v>
      </c>
      <c r="B11" s="19"/>
      <c r="C11" s="131">
        <f>SUM(D11:O11)</f>
        <v>0</v>
      </c>
      <c r="D11" s="27"/>
      <c r="E11" s="28"/>
      <c r="F11" s="28"/>
      <c r="G11" s="28"/>
      <c r="H11" s="28"/>
      <c r="I11" s="29"/>
      <c r="J11" s="162"/>
      <c r="K11" s="163"/>
      <c r="L11" s="162"/>
      <c r="M11" s="31"/>
      <c r="N11" s="28"/>
      <c r="O11" s="162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4"/>
      <c r="AD11" s="4"/>
      <c r="AE11" s="4"/>
      <c r="AF11" s="4"/>
      <c r="AG11" s="4"/>
    </row>
    <row r="12" spans="1:33" ht="17.100000000000001" hidden="1" customHeight="1" outlineLevel="1" x14ac:dyDescent="0.35">
      <c r="A12" s="19" t="s">
        <v>100</v>
      </c>
      <c r="B12" s="32"/>
      <c r="C12" s="145"/>
      <c r="D12" s="27"/>
      <c r="E12" s="28"/>
      <c r="F12" s="28"/>
      <c r="G12" s="28"/>
      <c r="H12" s="28"/>
      <c r="I12" s="29"/>
      <c r="J12" s="162"/>
      <c r="K12" s="163"/>
      <c r="L12" s="162"/>
      <c r="M12" s="31"/>
      <c r="N12" s="28"/>
      <c r="O12" s="28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4"/>
      <c r="AD12" s="4"/>
      <c r="AE12" s="4"/>
      <c r="AF12" s="4"/>
      <c r="AG12" s="4"/>
    </row>
    <row r="13" spans="1:33" ht="17.100000000000001" hidden="1" customHeight="1" outlineLevel="1" x14ac:dyDescent="0.35">
      <c r="A13" s="19" t="s">
        <v>86</v>
      </c>
      <c r="B13" s="32"/>
      <c r="C13" s="131"/>
      <c r="D13" s="27"/>
      <c r="E13" s="28"/>
      <c r="F13" s="28"/>
      <c r="G13" s="28"/>
      <c r="H13" s="28"/>
      <c r="I13" s="29"/>
      <c r="J13" s="162"/>
      <c r="K13" s="163"/>
      <c r="L13" s="162"/>
      <c r="M13" s="31"/>
      <c r="N13" s="28"/>
      <c r="O13" s="28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4"/>
      <c r="AD13" s="4"/>
      <c r="AE13" s="4"/>
      <c r="AF13" s="4"/>
      <c r="AG13" s="4"/>
    </row>
    <row r="14" spans="1:33" ht="17.100000000000001" hidden="1" customHeight="1" outlineLevel="1" x14ac:dyDescent="0.35">
      <c r="A14" s="19" t="s">
        <v>88</v>
      </c>
      <c r="B14" s="32"/>
      <c r="C14" s="131"/>
      <c r="D14" s="27"/>
      <c r="E14" s="28"/>
      <c r="F14" s="28"/>
      <c r="G14" s="28"/>
      <c r="H14" s="28"/>
      <c r="I14" s="29"/>
      <c r="J14" s="162"/>
      <c r="K14" s="163"/>
      <c r="L14" s="162"/>
      <c r="M14" s="31"/>
      <c r="N14" s="28"/>
      <c r="O14" s="28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4"/>
      <c r="AD14" s="4"/>
      <c r="AE14" s="4"/>
      <c r="AF14" s="4"/>
      <c r="AG14" s="4"/>
    </row>
    <row r="15" spans="1:33" ht="17.100000000000001" hidden="1" customHeight="1" outlineLevel="1" x14ac:dyDescent="0.35">
      <c r="A15" s="19" t="s">
        <v>117</v>
      </c>
      <c r="B15" s="32"/>
      <c r="C15" s="131">
        <f>34.15*1300*0.3</f>
        <v>13318.5</v>
      </c>
      <c r="D15" s="27"/>
      <c r="E15" s="28"/>
      <c r="F15" s="28"/>
      <c r="G15" s="28"/>
      <c r="H15" s="28"/>
      <c r="I15" s="29"/>
      <c r="J15" s="162">
        <f>+C15</f>
        <v>13318.5</v>
      </c>
      <c r="K15" s="163"/>
      <c r="L15" s="162"/>
      <c r="M15" s="31"/>
      <c r="N15" s="28"/>
      <c r="O15" s="28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4"/>
      <c r="AD15" s="4"/>
      <c r="AE15" s="4"/>
      <c r="AF15" s="4"/>
      <c r="AG15" s="4"/>
    </row>
    <row r="16" spans="1:33" ht="18.95" hidden="1" customHeight="1" outlineLevel="1" x14ac:dyDescent="0.35">
      <c r="A16" s="19" t="s">
        <v>125</v>
      </c>
      <c r="B16" s="19"/>
      <c r="C16" s="131">
        <f>SUM(D16:O16)</f>
        <v>189220.5</v>
      </c>
      <c r="D16" s="27"/>
      <c r="E16" s="28"/>
      <c r="F16" s="28">
        <f>42049*4.5</f>
        <v>189220.5</v>
      </c>
      <c r="G16" s="28"/>
      <c r="H16" s="28"/>
      <c r="I16" s="28"/>
      <c r="J16" s="165"/>
      <c r="K16" s="162"/>
      <c r="L16" s="162"/>
      <c r="M16" s="28"/>
      <c r="N16" s="28"/>
      <c r="O16" s="28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4"/>
      <c r="AD16" s="4"/>
      <c r="AE16" s="4"/>
      <c r="AF16" s="4"/>
      <c r="AG16" s="4"/>
    </row>
    <row r="17" spans="1:33" ht="18.95" hidden="1" customHeight="1" outlineLevel="1" x14ac:dyDescent="0.35">
      <c r="A17" s="33" t="s">
        <v>73</v>
      </c>
      <c r="B17" s="19"/>
      <c r="C17" s="131">
        <f>SUM(D17:O17)</f>
        <v>538278.5</v>
      </c>
      <c r="D17" s="27"/>
      <c r="E17" s="28"/>
      <c r="F17" s="28">
        <f>-42049*3.5</f>
        <v>-147171.5</v>
      </c>
      <c r="G17" s="28"/>
      <c r="H17" s="28"/>
      <c r="I17" s="28"/>
      <c r="J17" s="28"/>
      <c r="K17" s="28"/>
      <c r="L17" s="28"/>
      <c r="M17" s="28"/>
      <c r="N17" s="28"/>
      <c r="O17" s="28">
        <v>685450</v>
      </c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4"/>
      <c r="AD17" s="4"/>
      <c r="AE17" s="4"/>
      <c r="AF17" s="4"/>
      <c r="AG17" s="4"/>
    </row>
    <row r="18" spans="1:33" ht="18.75" hidden="1" customHeight="1" outlineLevel="1" x14ac:dyDescent="0.35">
      <c r="A18" s="33" t="s">
        <v>53</v>
      </c>
      <c r="B18" s="19"/>
      <c r="C18" s="132"/>
      <c r="D18" s="27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4"/>
      <c r="AD18" s="4"/>
      <c r="AE18" s="4"/>
      <c r="AF18" s="4"/>
      <c r="AG18" s="4"/>
    </row>
    <row r="19" spans="1:33" ht="18" hidden="1" customHeight="1" outlineLevel="1" x14ac:dyDescent="0.35">
      <c r="A19" s="33" t="s">
        <v>71</v>
      </c>
      <c r="B19" s="19"/>
      <c r="C19" s="131">
        <f>SUM(D19:O19)</f>
        <v>85162.27</v>
      </c>
      <c r="D19" s="27">
        <v>0</v>
      </c>
      <c r="E19" s="28">
        <v>1615.76</v>
      </c>
      <c r="F19" s="28">
        <v>0</v>
      </c>
      <c r="G19" s="28">
        <v>15125.37</v>
      </c>
      <c r="H19" s="28">
        <v>0</v>
      </c>
      <c r="I19" s="28">
        <v>0</v>
      </c>
      <c r="J19" s="28">
        <v>1687.89</v>
      </c>
      <c r="K19" s="28">
        <v>0</v>
      </c>
      <c r="L19" s="28">
        <v>0</v>
      </c>
      <c r="M19" s="28">
        <f>36820.41-3391.94</f>
        <v>33428.47</v>
      </c>
      <c r="N19" s="28">
        <v>16374.29</v>
      </c>
      <c r="O19" s="28">
        <v>16930.490000000002</v>
      </c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4"/>
      <c r="AD19" s="4"/>
      <c r="AE19" s="4"/>
      <c r="AF19" s="4"/>
      <c r="AG19" s="4"/>
    </row>
    <row r="20" spans="1:33" ht="13.5" hidden="1" customHeight="1" outlineLevel="1" x14ac:dyDescent="0.35">
      <c r="A20" s="19"/>
      <c r="B20" s="19"/>
      <c r="C20" s="132"/>
      <c r="D20" s="27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4"/>
      <c r="AD20" s="4"/>
      <c r="AE20" s="4"/>
      <c r="AF20" s="4"/>
      <c r="AG20" s="4"/>
    </row>
    <row r="21" spans="1:33" ht="24" customHeight="1" collapsed="1" thickBot="1" x14ac:dyDescent="0.4">
      <c r="A21" s="146" t="s">
        <v>99</v>
      </c>
      <c r="B21" s="146"/>
      <c r="C21" s="147">
        <f t="shared" ref="C21:O21" si="1">C22+C30</f>
        <v>304267.89419999998</v>
      </c>
      <c r="D21" s="148">
        <f t="shared" si="1"/>
        <v>33256.264199999998</v>
      </c>
      <c r="E21" s="148">
        <f t="shared" si="1"/>
        <v>6450</v>
      </c>
      <c r="F21" s="148">
        <f t="shared" si="1"/>
        <v>32264.53</v>
      </c>
      <c r="G21" s="148">
        <f t="shared" si="1"/>
        <v>21236.95</v>
      </c>
      <c r="H21" s="148">
        <f t="shared" si="1"/>
        <v>10203.549999999999</v>
      </c>
      <c r="I21" s="148">
        <f t="shared" si="1"/>
        <v>-648.79999999999995</v>
      </c>
      <c r="J21" s="148">
        <f t="shared" si="1"/>
        <v>10828.51</v>
      </c>
      <c r="K21" s="148">
        <f t="shared" si="1"/>
        <v>0</v>
      </c>
      <c r="L21" s="148">
        <f t="shared" si="1"/>
        <v>22774</v>
      </c>
      <c r="M21" s="148">
        <f t="shared" si="1"/>
        <v>70841.209999999992</v>
      </c>
      <c r="N21" s="148">
        <f t="shared" si="1"/>
        <v>62197.38</v>
      </c>
      <c r="O21" s="148">
        <f t="shared" si="1"/>
        <v>34864.300000000003</v>
      </c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4"/>
      <c r="AD21" s="4"/>
      <c r="AE21" s="4"/>
      <c r="AF21" s="4"/>
      <c r="AG21" s="4"/>
    </row>
    <row r="22" spans="1:33" s="3" customFormat="1" ht="18" hidden="1" customHeight="1" outlineLevel="1" thickBot="1" x14ac:dyDescent="0.4">
      <c r="A22" s="34" t="s">
        <v>77</v>
      </c>
      <c r="B22" s="35"/>
      <c r="C22" s="133">
        <f t="shared" ref="C22:O22" si="2">SUM(C23:C29)</f>
        <v>112347.59</v>
      </c>
      <c r="D22" s="37">
        <f t="shared" si="2"/>
        <v>11527.5</v>
      </c>
      <c r="E22" s="37">
        <f t="shared" si="2"/>
        <v>6450</v>
      </c>
      <c r="F22" s="37">
        <f t="shared" si="2"/>
        <v>29688.53</v>
      </c>
      <c r="G22" s="37">
        <f t="shared" si="2"/>
        <v>9481.75</v>
      </c>
      <c r="H22" s="37">
        <f t="shared" si="2"/>
        <v>10203.549999999999</v>
      </c>
      <c r="I22" s="37">
        <f t="shared" si="2"/>
        <v>-648.79999999999995</v>
      </c>
      <c r="J22" s="37">
        <f t="shared" si="2"/>
        <v>10828.51</v>
      </c>
      <c r="K22" s="37">
        <f t="shared" si="2"/>
        <v>0</v>
      </c>
      <c r="L22" s="37">
        <f t="shared" si="2"/>
        <v>0</v>
      </c>
      <c r="M22" s="37">
        <f t="shared" si="2"/>
        <v>5410.25</v>
      </c>
      <c r="N22" s="37">
        <f t="shared" si="2"/>
        <v>10999.5</v>
      </c>
      <c r="O22" s="38">
        <f t="shared" si="2"/>
        <v>18406.8</v>
      </c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5"/>
      <c r="AD22" s="5"/>
      <c r="AE22" s="5"/>
      <c r="AF22" s="5"/>
      <c r="AG22" s="5"/>
    </row>
    <row r="23" spans="1:33" ht="17.100000000000001" hidden="1" customHeight="1" outlineLevel="1" x14ac:dyDescent="0.35">
      <c r="A23" s="19" t="s">
        <v>18</v>
      </c>
      <c r="B23" s="19"/>
      <c r="C23" s="131">
        <f t="shared" ref="C23:C29" si="3">SUM(D23:O23)</f>
        <v>0</v>
      </c>
      <c r="D23" s="154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>
        <v>0</v>
      </c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4"/>
      <c r="AD23" s="4"/>
      <c r="AE23" s="4"/>
      <c r="AF23" s="4"/>
      <c r="AG23" s="4"/>
    </row>
    <row r="24" spans="1:33" ht="18" hidden="1" customHeight="1" outlineLevel="1" x14ac:dyDescent="0.35">
      <c r="A24" s="19" t="s">
        <v>19</v>
      </c>
      <c r="B24" s="19"/>
      <c r="C24" s="131">
        <f t="shared" si="3"/>
        <v>17954</v>
      </c>
      <c r="D24" s="154">
        <v>0</v>
      </c>
      <c r="E24" s="155">
        <v>0</v>
      </c>
      <c r="F24" s="155">
        <v>0</v>
      </c>
      <c r="G24" s="155">
        <v>0</v>
      </c>
      <c r="H24" s="155">
        <v>5408</v>
      </c>
      <c r="I24" s="155">
        <v>208</v>
      </c>
      <c r="J24" s="155">
        <v>0</v>
      </c>
      <c r="K24" s="155">
        <v>0</v>
      </c>
      <c r="L24" s="155">
        <v>0</v>
      </c>
      <c r="M24" s="155">
        <v>0</v>
      </c>
      <c r="N24" s="155">
        <v>0</v>
      </c>
      <c r="O24" s="155">
        <v>12338</v>
      </c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4"/>
      <c r="AD24" s="4"/>
      <c r="AE24" s="4"/>
      <c r="AF24" s="4"/>
      <c r="AG24" s="4"/>
    </row>
    <row r="25" spans="1:33" ht="18" hidden="1" customHeight="1" outlineLevel="1" x14ac:dyDescent="0.35">
      <c r="A25" s="19" t="s">
        <v>20</v>
      </c>
      <c r="B25" s="19"/>
      <c r="C25" s="131">
        <f t="shared" si="3"/>
        <v>41679.620000000003</v>
      </c>
      <c r="D25" s="154">
        <v>0</v>
      </c>
      <c r="E25" s="155">
        <v>0</v>
      </c>
      <c r="F25" s="155">
        <v>14995.4</v>
      </c>
      <c r="G25" s="155">
        <v>9481.75</v>
      </c>
      <c r="H25" s="155">
        <v>0</v>
      </c>
      <c r="I25" s="155">
        <v>0</v>
      </c>
      <c r="J25" s="155">
        <v>5723.42</v>
      </c>
      <c r="K25" s="155">
        <v>0</v>
      </c>
      <c r="L25" s="155">
        <v>0</v>
      </c>
      <c r="M25" s="155">
        <v>5410.25</v>
      </c>
      <c r="N25" s="155">
        <v>0</v>
      </c>
      <c r="O25" s="155">
        <v>6068.8</v>
      </c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4"/>
      <c r="AD25" s="4"/>
      <c r="AE25" s="4"/>
      <c r="AF25" s="4"/>
      <c r="AG25" s="4"/>
    </row>
    <row r="26" spans="1:33" ht="18.95" hidden="1" customHeight="1" outlineLevel="1" x14ac:dyDescent="0.35">
      <c r="A26" s="19" t="s">
        <v>23</v>
      </c>
      <c r="B26" s="19"/>
      <c r="C26" s="131">
        <f t="shared" si="3"/>
        <v>0</v>
      </c>
      <c r="D26" s="15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4"/>
      <c r="AD26" s="4"/>
      <c r="AE26" s="4"/>
      <c r="AF26" s="4"/>
      <c r="AG26" s="4"/>
    </row>
    <row r="27" spans="1:33" ht="18" hidden="1" customHeight="1" outlineLevel="1" x14ac:dyDescent="0.35">
      <c r="A27" s="19" t="s">
        <v>21</v>
      </c>
      <c r="B27" s="19"/>
      <c r="C27" s="131">
        <f t="shared" si="3"/>
        <v>52713.97</v>
      </c>
      <c r="D27" s="154">
        <v>11527.5</v>
      </c>
      <c r="E27" s="155">
        <v>6450</v>
      </c>
      <c r="F27" s="155">
        <v>14693.13</v>
      </c>
      <c r="G27" s="155">
        <v>0</v>
      </c>
      <c r="H27" s="155">
        <v>4795.55</v>
      </c>
      <c r="I27" s="155">
        <v>-856.8</v>
      </c>
      <c r="J27" s="155">
        <v>5105.09</v>
      </c>
      <c r="K27" s="155">
        <v>0</v>
      </c>
      <c r="L27" s="155">
        <v>0</v>
      </c>
      <c r="M27" s="155">
        <v>0</v>
      </c>
      <c r="N27" s="155">
        <v>10999.5</v>
      </c>
      <c r="O27" s="155">
        <v>0</v>
      </c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4"/>
      <c r="AD27" s="4"/>
      <c r="AE27" s="4"/>
      <c r="AF27" s="4"/>
      <c r="AG27" s="4"/>
    </row>
    <row r="28" spans="1:33" ht="18.95" hidden="1" customHeight="1" outlineLevel="1" x14ac:dyDescent="0.35">
      <c r="A28" s="19" t="s">
        <v>24</v>
      </c>
      <c r="B28" s="19"/>
      <c r="C28" s="131">
        <f t="shared" si="3"/>
        <v>0</v>
      </c>
      <c r="D28" s="154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42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4"/>
      <c r="AD28" s="4"/>
      <c r="AE28" s="4"/>
      <c r="AF28" s="4"/>
      <c r="AG28" s="4"/>
    </row>
    <row r="29" spans="1:33" ht="21" hidden="1" outlineLevel="1" x14ac:dyDescent="0.35">
      <c r="A29" s="19" t="s">
        <v>22</v>
      </c>
      <c r="B29" s="19"/>
      <c r="C29" s="131">
        <f t="shared" si="3"/>
        <v>0</v>
      </c>
      <c r="D29" s="27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4"/>
      <c r="AD29" s="4"/>
      <c r="AE29" s="4"/>
      <c r="AF29" s="4"/>
      <c r="AG29" s="4"/>
    </row>
    <row r="30" spans="1:33" ht="20.100000000000001" hidden="1" customHeight="1" outlineLevel="1" x14ac:dyDescent="0.35">
      <c r="A30" s="33" t="s">
        <v>25</v>
      </c>
      <c r="B30" s="33"/>
      <c r="C30" s="131">
        <f>SUM(D30:O30)</f>
        <v>191920.30420000001</v>
      </c>
      <c r="D30" s="27">
        <f>21302.71*1.02</f>
        <v>21728.764199999998</v>
      </c>
      <c r="E30" s="28">
        <v>0</v>
      </c>
      <c r="F30" s="28">
        <v>2576</v>
      </c>
      <c r="G30" s="28">
        <v>11755.2</v>
      </c>
      <c r="H30" s="28">
        <v>0</v>
      </c>
      <c r="I30" s="28">
        <v>0</v>
      </c>
      <c r="J30" s="28">
        <v>0</v>
      </c>
      <c r="K30" s="28">
        <v>0</v>
      </c>
      <c r="L30" s="28">
        <v>22774</v>
      </c>
      <c r="M30" s="28">
        <f>64148*1.02</f>
        <v>65430.96</v>
      </c>
      <c r="N30" s="28">
        <f>50194*1.02</f>
        <v>51197.88</v>
      </c>
      <c r="O30" s="28">
        <v>16457.5</v>
      </c>
      <c r="P30" s="142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4"/>
      <c r="AD30" s="4"/>
      <c r="AE30" s="4"/>
      <c r="AF30" s="4"/>
      <c r="AG30" s="4"/>
    </row>
    <row r="31" spans="1:33" ht="13.5" hidden="1" customHeight="1" outlineLevel="1" x14ac:dyDescent="0.35">
      <c r="A31" s="33" t="s">
        <v>41</v>
      </c>
      <c r="B31" s="33"/>
      <c r="C31" s="132"/>
      <c r="D31" s="27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4"/>
      <c r="AD31" s="4"/>
      <c r="AE31" s="4"/>
      <c r="AF31" s="4"/>
      <c r="AG31" s="4"/>
    </row>
    <row r="32" spans="1:33" ht="17.100000000000001" hidden="1" customHeight="1" outlineLevel="1" thickBot="1" x14ac:dyDescent="0.4">
      <c r="A32" s="33"/>
      <c r="B32" s="33"/>
      <c r="C32" s="131"/>
      <c r="D32" s="25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4"/>
      <c r="AD32" s="4"/>
      <c r="AE32" s="4"/>
      <c r="AF32" s="4"/>
      <c r="AG32" s="4"/>
    </row>
    <row r="33" spans="1:101" s="3" customFormat="1" ht="21" customHeight="1" collapsed="1" thickBot="1" x14ac:dyDescent="0.4">
      <c r="A33" s="39" t="s">
        <v>80</v>
      </c>
      <c r="B33" s="40"/>
      <c r="C33" s="134">
        <f t="shared" ref="C33:O33" si="4">C5-C21</f>
        <v>614029.7437760001</v>
      </c>
      <c r="D33" s="41">
        <f t="shared" si="4"/>
        <v>-33256.264199999998</v>
      </c>
      <c r="E33" s="41">
        <f t="shared" si="4"/>
        <v>-4834.24</v>
      </c>
      <c r="F33" s="41">
        <f t="shared" si="4"/>
        <v>9784.4700000000012</v>
      </c>
      <c r="G33" s="41">
        <f t="shared" si="4"/>
        <v>-6111.58</v>
      </c>
      <c r="H33" s="41">
        <f t="shared" si="4"/>
        <v>-10203.549999999999</v>
      </c>
      <c r="I33" s="41">
        <f t="shared" si="4"/>
        <v>648.79999999999995</v>
      </c>
      <c r="J33" s="41">
        <f t="shared" si="4"/>
        <v>4177.8799999999992</v>
      </c>
      <c r="K33" s="41">
        <f t="shared" si="4"/>
        <v>0</v>
      </c>
      <c r="L33" s="41">
        <f t="shared" si="4"/>
        <v>69543.867976000009</v>
      </c>
      <c r="M33" s="41">
        <f t="shared" si="4"/>
        <v>-37412.739999999991</v>
      </c>
      <c r="N33" s="41">
        <f t="shared" si="4"/>
        <v>-45823.09</v>
      </c>
      <c r="O33" s="41">
        <f t="shared" si="4"/>
        <v>667516.18999999994</v>
      </c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5"/>
      <c r="AD33" s="5"/>
      <c r="AE33" s="5"/>
      <c r="AF33" s="5"/>
      <c r="AG33" s="5"/>
    </row>
    <row r="34" spans="1:101" ht="0.95" customHeight="1" thickBot="1" x14ac:dyDescent="0.4">
      <c r="A34" s="19"/>
      <c r="B34" s="19"/>
      <c r="C34" s="132"/>
      <c r="D34" s="27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4"/>
      <c r="AD34" s="4"/>
      <c r="AE34" s="4"/>
      <c r="AF34" s="4"/>
      <c r="AG34" s="4"/>
    </row>
    <row r="35" spans="1:101" s="6" customFormat="1" ht="33" customHeight="1" thickBot="1" x14ac:dyDescent="0.4">
      <c r="A35" s="156" t="s">
        <v>85</v>
      </c>
      <c r="B35" s="157"/>
      <c r="C35" s="158">
        <f t="shared" ref="C35:O35" si="5">C36+C78</f>
        <v>706623.67093600007</v>
      </c>
      <c r="D35" s="159">
        <f t="shared" si="5"/>
        <v>65509.423732600007</v>
      </c>
      <c r="E35" s="159">
        <f t="shared" si="5"/>
        <v>41383.077635599999</v>
      </c>
      <c r="F35" s="159">
        <f t="shared" si="5"/>
        <v>42062.388949999993</v>
      </c>
      <c r="G35" s="159">
        <f t="shared" si="5"/>
        <v>46806.946629999991</v>
      </c>
      <c r="H35" s="159">
        <f t="shared" si="5"/>
        <v>48031.851600000002</v>
      </c>
      <c r="I35" s="159">
        <f t="shared" si="5"/>
        <v>53324.63867</v>
      </c>
      <c r="J35" s="159">
        <f t="shared" si="5"/>
        <v>45101.359943199997</v>
      </c>
      <c r="K35" s="159">
        <f t="shared" si="5"/>
        <v>39789.932929999995</v>
      </c>
      <c r="L35" s="159">
        <f t="shared" si="5"/>
        <v>93450.339650399983</v>
      </c>
      <c r="M35" s="159">
        <f t="shared" si="5"/>
        <v>100094.42599999999</v>
      </c>
      <c r="N35" s="159">
        <f t="shared" si="5"/>
        <v>82102.595200000011</v>
      </c>
      <c r="O35" s="159">
        <f t="shared" si="5"/>
        <v>48966.689994200002</v>
      </c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9"/>
      <c r="AC35" s="4"/>
      <c r="AD35" s="4"/>
      <c r="AE35" s="4"/>
      <c r="AF35" s="4"/>
      <c r="AG35" s="4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</row>
    <row r="36" spans="1:101" s="7" customFormat="1" ht="33" customHeight="1" x14ac:dyDescent="0.35">
      <c r="A36" s="42" t="s">
        <v>52</v>
      </c>
      <c r="B36" s="42"/>
      <c r="C36" s="135">
        <f t="shared" ref="C36:O36" si="6">C37+C51+C52+C61+C62+C63+C69+C77</f>
        <v>314507.39413600002</v>
      </c>
      <c r="D36" s="43">
        <f t="shared" si="6"/>
        <v>42152.716132600006</v>
      </c>
      <c r="E36" s="43">
        <f t="shared" si="6"/>
        <v>19241.748435599999</v>
      </c>
      <c r="F36" s="43">
        <f t="shared" si="6"/>
        <v>20131.715749999996</v>
      </c>
      <c r="G36" s="43">
        <f t="shared" si="6"/>
        <v>24451.017429999996</v>
      </c>
      <c r="H36" s="43">
        <f t="shared" si="6"/>
        <v>27123.254399999998</v>
      </c>
      <c r="I36" s="43">
        <f t="shared" si="6"/>
        <v>31044.735869999997</v>
      </c>
      <c r="J36" s="43">
        <f t="shared" si="6"/>
        <v>24173.947543199996</v>
      </c>
      <c r="K36" s="43">
        <f t="shared" si="6"/>
        <v>18850.676929999998</v>
      </c>
      <c r="L36" s="43">
        <f t="shared" si="6"/>
        <v>25190.484450399999</v>
      </c>
      <c r="M36" s="43">
        <f t="shared" si="6"/>
        <v>20844.498799999998</v>
      </c>
      <c r="N36" s="43">
        <f t="shared" si="6"/>
        <v>36350.5216</v>
      </c>
      <c r="O36" s="43">
        <f t="shared" si="6"/>
        <v>24952.076794200002</v>
      </c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4"/>
      <c r="AD36" s="4"/>
      <c r="AE36" s="4"/>
      <c r="AF36" s="4"/>
      <c r="AG36" s="4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</row>
    <row r="37" spans="1:101" ht="20.100000000000001" customHeight="1" x14ac:dyDescent="0.35">
      <c r="A37" s="44" t="s">
        <v>49</v>
      </c>
      <c r="B37" s="45"/>
      <c r="C37" s="131">
        <f>SUM(C38:C50)</f>
        <v>153311.20000000001</v>
      </c>
      <c r="D37" s="27">
        <f>SUM(D38:D50)</f>
        <v>12377</v>
      </c>
      <c r="E37" s="28">
        <f t="shared" ref="E37:G37" si="7">SUM(E38:E50)</f>
        <v>12582.72</v>
      </c>
      <c r="F37" s="28">
        <f t="shared" si="7"/>
        <v>12377</v>
      </c>
      <c r="G37" s="28">
        <f t="shared" si="7"/>
        <v>14683.92</v>
      </c>
      <c r="H37" s="28">
        <f>SUM(H38:H50)</f>
        <v>12377</v>
      </c>
      <c r="I37" s="28">
        <f t="shared" ref="I37:K37" si="8">SUM(I38:I50)</f>
        <v>12377</v>
      </c>
      <c r="J37" s="28">
        <f t="shared" si="8"/>
        <v>12582.72</v>
      </c>
      <c r="K37" s="28">
        <f t="shared" si="8"/>
        <v>12377</v>
      </c>
      <c r="L37" s="28">
        <f>SUM(L38:L50)</f>
        <v>12519</v>
      </c>
      <c r="M37" s="28">
        <f t="shared" ref="M37:O37" si="9">SUM(M38:M50)</f>
        <v>13190.92</v>
      </c>
      <c r="N37" s="28">
        <f t="shared" si="9"/>
        <v>12377</v>
      </c>
      <c r="O37" s="28">
        <f t="shared" si="9"/>
        <v>13489.92</v>
      </c>
      <c r="P37" s="153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4"/>
      <c r="AD37" s="4"/>
      <c r="AE37" s="4"/>
      <c r="AF37" s="4"/>
      <c r="AG37" s="4"/>
    </row>
    <row r="38" spans="1:101" ht="20.100000000000001" hidden="1" customHeight="1" outlineLevel="1" x14ac:dyDescent="0.35">
      <c r="A38" s="19" t="s">
        <v>50</v>
      </c>
      <c r="B38" s="46"/>
      <c r="C38" s="132">
        <f t="shared" ref="C38:C60" si="10">SUM(D38:O38)</f>
        <v>0</v>
      </c>
      <c r="D38" s="27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4"/>
      <c r="AD38" s="4"/>
      <c r="AE38" s="4"/>
      <c r="AF38" s="4"/>
      <c r="AG38" s="4"/>
    </row>
    <row r="39" spans="1:101" ht="20.100000000000001" hidden="1" customHeight="1" outlineLevel="1" x14ac:dyDescent="0.35">
      <c r="A39" s="19" t="s">
        <v>118</v>
      </c>
      <c r="B39" s="46"/>
      <c r="C39" s="132">
        <f t="shared" si="10"/>
        <v>36936</v>
      </c>
      <c r="D39" s="27">
        <v>3078</v>
      </c>
      <c r="E39" s="28">
        <v>3078</v>
      </c>
      <c r="F39" s="28">
        <v>3078</v>
      </c>
      <c r="G39" s="28">
        <v>3078</v>
      </c>
      <c r="H39" s="28">
        <v>3078</v>
      </c>
      <c r="I39" s="28">
        <v>3078</v>
      </c>
      <c r="J39" s="28">
        <v>3078</v>
      </c>
      <c r="K39" s="28">
        <v>3078</v>
      </c>
      <c r="L39" s="28">
        <v>3078</v>
      </c>
      <c r="M39" s="28">
        <v>3078</v>
      </c>
      <c r="N39" s="28">
        <v>3078</v>
      </c>
      <c r="O39" s="28">
        <v>3078</v>
      </c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4"/>
      <c r="AD39" s="4"/>
      <c r="AE39" s="4"/>
      <c r="AF39" s="4"/>
      <c r="AG39" s="4"/>
    </row>
    <row r="40" spans="1:101" ht="20.100000000000001" hidden="1" customHeight="1" outlineLevel="1" x14ac:dyDescent="0.35">
      <c r="A40" s="19" t="s">
        <v>119</v>
      </c>
      <c r="B40" s="46"/>
      <c r="C40" s="132">
        <f t="shared" si="10"/>
        <v>33996</v>
      </c>
      <c r="D40" s="27">
        <v>2833</v>
      </c>
      <c r="E40" s="28">
        <v>2833</v>
      </c>
      <c r="F40" s="28">
        <v>2833</v>
      </c>
      <c r="G40" s="28">
        <v>2833</v>
      </c>
      <c r="H40" s="28">
        <v>2833</v>
      </c>
      <c r="I40" s="28">
        <v>2833</v>
      </c>
      <c r="J40" s="28">
        <v>2833</v>
      </c>
      <c r="K40" s="28">
        <v>2833</v>
      </c>
      <c r="L40" s="28">
        <v>2833</v>
      </c>
      <c r="M40" s="28">
        <v>2833</v>
      </c>
      <c r="N40" s="28">
        <v>2833</v>
      </c>
      <c r="O40" s="28">
        <v>2833</v>
      </c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4"/>
      <c r="AD40" s="4"/>
      <c r="AE40" s="4"/>
      <c r="AF40" s="4"/>
      <c r="AG40" s="4"/>
    </row>
    <row r="41" spans="1:101" ht="20.100000000000001" hidden="1" customHeight="1" outlineLevel="1" x14ac:dyDescent="0.35">
      <c r="A41" s="19" t="s">
        <v>120</v>
      </c>
      <c r="B41" s="46"/>
      <c r="C41" s="132">
        <f t="shared" si="10"/>
        <v>33996</v>
      </c>
      <c r="D41" s="27">
        <v>2833</v>
      </c>
      <c r="E41" s="28">
        <v>2833</v>
      </c>
      <c r="F41" s="28">
        <v>2833</v>
      </c>
      <c r="G41" s="28">
        <v>2833</v>
      </c>
      <c r="H41" s="28">
        <v>2833</v>
      </c>
      <c r="I41" s="28">
        <v>2833</v>
      </c>
      <c r="J41" s="28">
        <v>2833</v>
      </c>
      <c r="K41" s="28">
        <v>2833</v>
      </c>
      <c r="L41" s="28">
        <v>2833</v>
      </c>
      <c r="M41" s="28">
        <v>2833</v>
      </c>
      <c r="N41" s="28">
        <v>2833</v>
      </c>
      <c r="O41" s="28">
        <v>2833</v>
      </c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4"/>
      <c r="AD41" s="4"/>
      <c r="AE41" s="4"/>
      <c r="AF41" s="4"/>
      <c r="AG41" s="4"/>
    </row>
    <row r="42" spans="1:101" ht="20.100000000000001" hidden="1" customHeight="1" outlineLevel="1" x14ac:dyDescent="0.35">
      <c r="A42" s="19" t="s">
        <v>121</v>
      </c>
      <c r="B42" s="46"/>
      <c r="C42" s="132">
        <f t="shared" si="10"/>
        <v>33996</v>
      </c>
      <c r="D42" s="27">
        <v>2833</v>
      </c>
      <c r="E42" s="28">
        <v>2833</v>
      </c>
      <c r="F42" s="28">
        <v>2833</v>
      </c>
      <c r="G42" s="28">
        <v>2833</v>
      </c>
      <c r="H42" s="28">
        <v>2833</v>
      </c>
      <c r="I42" s="28">
        <v>2833</v>
      </c>
      <c r="J42" s="28">
        <v>2833</v>
      </c>
      <c r="K42" s="28">
        <v>2833</v>
      </c>
      <c r="L42" s="28">
        <v>2833</v>
      </c>
      <c r="M42" s="28">
        <v>2833</v>
      </c>
      <c r="N42" s="28">
        <v>2833</v>
      </c>
      <c r="O42" s="28">
        <v>2833</v>
      </c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4"/>
      <c r="AD42" s="4"/>
      <c r="AE42" s="4"/>
      <c r="AF42" s="4"/>
      <c r="AG42" s="4"/>
    </row>
    <row r="43" spans="1:101" ht="20.100000000000001" hidden="1" customHeight="1" outlineLevel="1" x14ac:dyDescent="0.35">
      <c r="A43" s="19" t="s">
        <v>122</v>
      </c>
      <c r="B43" s="46"/>
      <c r="C43" s="132">
        <f t="shared" si="10"/>
        <v>0</v>
      </c>
      <c r="D43" s="27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4"/>
      <c r="AD43" s="4"/>
      <c r="AE43" s="4"/>
      <c r="AF43" s="4"/>
      <c r="AG43" s="4"/>
    </row>
    <row r="44" spans="1:101" ht="20.100000000000001" hidden="1" customHeight="1" outlineLevel="1" x14ac:dyDescent="0.35">
      <c r="A44" s="17" t="s">
        <v>113</v>
      </c>
      <c r="B44" s="46"/>
      <c r="C44" s="132">
        <f t="shared" si="10"/>
        <v>900</v>
      </c>
      <c r="D44" s="27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>
        <v>900</v>
      </c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4"/>
      <c r="AD44" s="4"/>
      <c r="AE44" s="4"/>
      <c r="AF44" s="4"/>
      <c r="AG44" s="4"/>
    </row>
    <row r="45" spans="1:101" ht="20.100000000000001" hidden="1" customHeight="1" outlineLevel="1" x14ac:dyDescent="0.35">
      <c r="A45" s="17" t="s">
        <v>123</v>
      </c>
      <c r="B45" s="46"/>
      <c r="C45" s="132">
        <f t="shared" si="10"/>
        <v>9600</v>
      </c>
      <c r="D45" s="27">
        <v>800</v>
      </c>
      <c r="E45" s="28">
        <v>800</v>
      </c>
      <c r="F45" s="28">
        <v>800</v>
      </c>
      <c r="G45" s="28">
        <v>800</v>
      </c>
      <c r="H45" s="28">
        <v>800</v>
      </c>
      <c r="I45" s="28">
        <v>800</v>
      </c>
      <c r="J45" s="28">
        <v>800</v>
      </c>
      <c r="K45" s="28">
        <v>800</v>
      </c>
      <c r="L45" s="28">
        <v>800</v>
      </c>
      <c r="M45" s="28">
        <v>800</v>
      </c>
      <c r="N45" s="28">
        <v>800</v>
      </c>
      <c r="O45" s="28">
        <v>800</v>
      </c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4"/>
      <c r="AD45" s="4"/>
      <c r="AE45" s="4"/>
      <c r="AF45" s="4"/>
      <c r="AG45" s="4"/>
    </row>
    <row r="46" spans="1:101" ht="20.100000000000001" hidden="1" customHeight="1" outlineLevel="1" x14ac:dyDescent="0.35">
      <c r="A46" s="17" t="s">
        <v>96</v>
      </c>
      <c r="B46" s="46"/>
      <c r="C46" s="132">
        <f t="shared" si="10"/>
        <v>0</v>
      </c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4"/>
      <c r="AD46" s="4"/>
      <c r="AE46" s="4"/>
      <c r="AF46" s="4"/>
      <c r="AG46" s="4"/>
    </row>
    <row r="47" spans="1:101" ht="20.100000000000001" hidden="1" customHeight="1" outlineLevel="1" x14ac:dyDescent="0.35">
      <c r="A47" s="19" t="s">
        <v>97</v>
      </c>
      <c r="B47" s="46"/>
      <c r="C47" s="132">
        <f t="shared" si="10"/>
        <v>0</v>
      </c>
      <c r="D47" s="27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4"/>
      <c r="AD47" s="4"/>
      <c r="AE47" s="4"/>
      <c r="AF47" s="4"/>
      <c r="AG47" s="4"/>
    </row>
    <row r="48" spans="1:101" ht="20.100000000000001" hidden="1" customHeight="1" outlineLevel="1" x14ac:dyDescent="0.35">
      <c r="A48" s="19" t="s">
        <v>94</v>
      </c>
      <c r="B48" s="46"/>
      <c r="C48" s="132">
        <f t="shared" si="10"/>
        <v>0</v>
      </c>
      <c r="D48" s="27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4"/>
      <c r="AD48" s="4"/>
      <c r="AE48" s="4"/>
      <c r="AF48" s="4"/>
      <c r="AG48" s="4"/>
    </row>
    <row r="49" spans="1:33" ht="23.1" hidden="1" customHeight="1" outlineLevel="1" x14ac:dyDescent="0.35">
      <c r="A49" s="19" t="s">
        <v>42</v>
      </c>
      <c r="B49" s="19"/>
      <c r="C49" s="132">
        <f t="shared" si="10"/>
        <v>3887.2</v>
      </c>
      <c r="D49" s="27">
        <v>0</v>
      </c>
      <c r="E49" s="28">
        <v>205.72</v>
      </c>
      <c r="F49" s="28">
        <v>0</v>
      </c>
      <c r="G49" s="28">
        <v>2306.92</v>
      </c>
      <c r="H49" s="28">
        <v>0</v>
      </c>
      <c r="I49" s="28">
        <v>0</v>
      </c>
      <c r="J49" s="28">
        <v>205.72</v>
      </c>
      <c r="K49" s="28">
        <v>0</v>
      </c>
      <c r="L49" s="28">
        <v>142</v>
      </c>
      <c r="M49" s="28">
        <v>813.92</v>
      </c>
      <c r="N49" s="28">
        <v>0</v>
      </c>
      <c r="O49" s="28">
        <v>212.92</v>
      </c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4"/>
      <c r="AD49" s="4"/>
      <c r="AE49" s="4"/>
      <c r="AF49" s="4"/>
      <c r="AG49" s="4"/>
    </row>
    <row r="50" spans="1:33" ht="23.1" hidden="1" customHeight="1" outlineLevel="1" x14ac:dyDescent="0.35">
      <c r="A50" s="19" t="s">
        <v>43</v>
      </c>
      <c r="B50" s="19"/>
      <c r="C50" s="132">
        <f t="shared" si="10"/>
        <v>0</v>
      </c>
      <c r="D50" s="27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4"/>
      <c r="AD50" s="4"/>
      <c r="AE50" s="4"/>
      <c r="AF50" s="4"/>
      <c r="AG50" s="4"/>
    </row>
    <row r="51" spans="1:33" ht="23.1" customHeight="1" collapsed="1" x14ac:dyDescent="0.35">
      <c r="A51" s="33" t="s">
        <v>26</v>
      </c>
      <c r="B51" s="19"/>
      <c r="C51" s="131">
        <f t="shared" si="10"/>
        <v>31342.280130000003</v>
      </c>
      <c r="D51" s="27">
        <f>(1731.57)*1.029</f>
        <v>1781.7855299999999</v>
      </c>
      <c r="E51" s="28">
        <v>242.30892</v>
      </c>
      <c r="F51" s="28">
        <v>4448.5830900000001</v>
      </c>
      <c r="G51" s="28">
        <v>3382.9301099999998</v>
      </c>
      <c r="H51" s="28">
        <v>2111.5697399999999</v>
      </c>
      <c r="I51" s="28">
        <v>6258.2853899999991</v>
      </c>
      <c r="J51" s="28">
        <v>2696.9060999999997</v>
      </c>
      <c r="K51" s="28">
        <v>2128.6408499999998</v>
      </c>
      <c r="L51" s="28">
        <v>3892.0175699999995</v>
      </c>
      <c r="M51" s="28">
        <v>1944.0691200000001</v>
      </c>
      <c r="N51" s="28">
        <v>1882.7407199999998</v>
      </c>
      <c r="O51" s="28">
        <v>572.4429899999999</v>
      </c>
      <c r="P51" s="142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4"/>
      <c r="AD51" s="4"/>
      <c r="AE51" s="4"/>
      <c r="AF51" s="4"/>
      <c r="AG51" s="4"/>
    </row>
    <row r="52" spans="1:33" ht="23.1" customHeight="1" x14ac:dyDescent="0.35">
      <c r="A52" s="33" t="s">
        <v>27</v>
      </c>
      <c r="B52" s="19"/>
      <c r="C52" s="131">
        <f t="shared" si="10"/>
        <v>26025.894006000002</v>
      </c>
      <c r="D52" s="28">
        <f t="shared" ref="D52:O52" si="11">SUM(D53:D60)</f>
        <v>2268.1006026</v>
      </c>
      <c r="E52" s="28">
        <f t="shared" si="11"/>
        <v>1494.2895156</v>
      </c>
      <c r="F52" s="28">
        <f t="shared" si="11"/>
        <v>703.36265999999989</v>
      </c>
      <c r="G52" s="28">
        <f t="shared" si="11"/>
        <v>1682.4973199999997</v>
      </c>
      <c r="H52" s="28">
        <f t="shared" si="11"/>
        <v>1740.5946599999997</v>
      </c>
      <c r="I52" s="28">
        <f t="shared" si="11"/>
        <v>5919.9604799999997</v>
      </c>
      <c r="J52" s="28">
        <f t="shared" si="11"/>
        <v>3017.8314431999997</v>
      </c>
      <c r="K52" s="28">
        <f t="shared" si="11"/>
        <v>977.05608000000041</v>
      </c>
      <c r="L52" s="28">
        <f t="shared" si="11"/>
        <v>2269.0968803999999</v>
      </c>
      <c r="M52" s="28">
        <f t="shared" si="11"/>
        <v>1705.9996799999999</v>
      </c>
      <c r="N52" s="28">
        <f t="shared" si="11"/>
        <v>1101.77088</v>
      </c>
      <c r="O52" s="28">
        <f t="shared" si="11"/>
        <v>3145.3338042</v>
      </c>
      <c r="P52" s="142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4"/>
      <c r="AD52" s="4"/>
      <c r="AE52" s="4"/>
      <c r="AF52" s="4"/>
      <c r="AG52" s="4"/>
    </row>
    <row r="53" spans="1:33" ht="18" hidden="1" customHeight="1" outlineLevel="1" x14ac:dyDescent="0.35">
      <c r="A53" s="17" t="s">
        <v>1</v>
      </c>
      <c r="B53" s="19"/>
      <c r="C53" s="131">
        <f t="shared" si="10"/>
        <v>0</v>
      </c>
      <c r="D53" s="27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4"/>
      <c r="AD53" s="4"/>
      <c r="AE53" s="4"/>
      <c r="AF53" s="4"/>
      <c r="AG53" s="4"/>
    </row>
    <row r="54" spans="1:33" ht="18" hidden="1" customHeight="1" outlineLevel="1" x14ac:dyDescent="0.35">
      <c r="A54" s="19" t="s">
        <v>89</v>
      </c>
      <c r="B54" s="19"/>
      <c r="C54" s="131">
        <f t="shared" si="10"/>
        <v>0</v>
      </c>
      <c r="D54" s="27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4"/>
      <c r="AD54" s="4"/>
      <c r="AE54" s="4"/>
      <c r="AF54" s="4"/>
      <c r="AG54" s="4"/>
    </row>
    <row r="55" spans="1:33" ht="18" hidden="1" customHeight="1" outlineLevel="1" x14ac:dyDescent="0.35">
      <c r="A55" s="19" t="s">
        <v>90</v>
      </c>
      <c r="B55" s="19"/>
      <c r="C55" s="131">
        <f t="shared" si="10"/>
        <v>0</v>
      </c>
      <c r="D55" s="27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4"/>
      <c r="AD55" s="4"/>
      <c r="AE55" s="4"/>
      <c r="AF55" s="4"/>
      <c r="AG55" s="4"/>
    </row>
    <row r="56" spans="1:33" ht="18" hidden="1" customHeight="1" outlineLevel="1" x14ac:dyDescent="0.35">
      <c r="A56" s="19" t="s">
        <v>91</v>
      </c>
      <c r="B56" s="19"/>
      <c r="C56" s="131">
        <f t="shared" si="10"/>
        <v>0</v>
      </c>
      <c r="D56" s="15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4"/>
      <c r="AD56" s="4"/>
      <c r="AE56" s="4"/>
      <c r="AF56" s="4"/>
      <c r="AG56" s="4"/>
    </row>
    <row r="57" spans="1:33" ht="18" hidden="1" customHeight="1" outlineLevel="1" x14ac:dyDescent="0.35">
      <c r="A57" s="19" t="s">
        <v>84</v>
      </c>
      <c r="B57" s="19"/>
      <c r="C57" s="131">
        <f t="shared" si="10"/>
        <v>0</v>
      </c>
      <c r="D57" s="15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4"/>
      <c r="AD57" s="4"/>
      <c r="AE57" s="4"/>
      <c r="AF57" s="4"/>
      <c r="AG57" s="4"/>
    </row>
    <row r="58" spans="1:33" ht="18" hidden="1" customHeight="1" outlineLevel="1" x14ac:dyDescent="0.35">
      <c r="A58" s="19" t="s">
        <v>87</v>
      </c>
      <c r="B58" s="19"/>
      <c r="C58" s="131">
        <f t="shared" si="10"/>
        <v>0</v>
      </c>
      <c r="D58" s="15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4"/>
      <c r="AD58" s="4"/>
      <c r="AE58" s="4"/>
      <c r="AF58" s="4"/>
      <c r="AG58" s="4"/>
    </row>
    <row r="59" spans="1:33" ht="18" hidden="1" customHeight="1" outlineLevel="1" x14ac:dyDescent="0.35">
      <c r="A59" s="19" t="s">
        <v>92</v>
      </c>
      <c r="B59" s="19"/>
      <c r="C59" s="131">
        <f t="shared" si="10"/>
        <v>0</v>
      </c>
      <c r="D59" s="15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4"/>
      <c r="AD59" s="4"/>
      <c r="AE59" s="4"/>
      <c r="AF59" s="4"/>
      <c r="AG59" s="4"/>
    </row>
    <row r="60" spans="1:33" ht="18" hidden="1" customHeight="1" outlineLevel="1" x14ac:dyDescent="0.35">
      <c r="A60" s="19" t="s">
        <v>114</v>
      </c>
      <c r="B60" s="19"/>
      <c r="C60" s="131">
        <f t="shared" si="10"/>
        <v>26025.894006000002</v>
      </c>
      <c r="D60" s="27">
        <f>(2139.98*1.03)*1.029</f>
        <v>2268.1006026</v>
      </c>
      <c r="E60" s="28">
        <f>(1409.88*1.03)*1.029</f>
        <v>1494.2895156</v>
      </c>
      <c r="F60" s="28">
        <v>703.36265999999989</v>
      </c>
      <c r="G60" s="28">
        <v>1682.4973199999997</v>
      </c>
      <c r="H60" s="28">
        <v>1740.5946599999997</v>
      </c>
      <c r="I60" s="28">
        <v>5919.9604799999997</v>
      </c>
      <c r="J60" s="28">
        <f>(2847.36*1.03)*1.029</f>
        <v>3017.8314431999997</v>
      </c>
      <c r="K60" s="28">
        <f>(16949.52-16000)*1.029</f>
        <v>977.05608000000041</v>
      </c>
      <c r="L60" s="28">
        <f>(2140.92*1.03)*1.029</f>
        <v>2269.0968803999999</v>
      </c>
      <c r="M60" s="28">
        <v>1705.9996799999999</v>
      </c>
      <c r="N60" s="28">
        <v>1101.77088</v>
      </c>
      <c r="O60" s="28">
        <f>(2967.66*1.03)*1.029</f>
        <v>3145.3338042</v>
      </c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4"/>
      <c r="AD60" s="4"/>
      <c r="AE60" s="4"/>
      <c r="AF60" s="4"/>
      <c r="AG60" s="4"/>
    </row>
    <row r="61" spans="1:33" ht="21.95" customHeight="1" collapsed="1" x14ac:dyDescent="0.35">
      <c r="A61" s="33" t="s">
        <v>28</v>
      </c>
      <c r="B61" s="19"/>
      <c r="C61" s="131">
        <f t="shared" ref="C61:C62" si="12">SUM(D61:O61)</f>
        <v>25196.19</v>
      </c>
      <c r="D61" s="27">
        <v>4954.6099999999997</v>
      </c>
      <c r="E61" s="28">
        <v>2683.5</v>
      </c>
      <c r="F61" s="28">
        <v>882.17</v>
      </c>
      <c r="G61" s="28">
        <v>0</v>
      </c>
      <c r="H61" s="28">
        <v>8962.84</v>
      </c>
      <c r="I61" s="28">
        <v>717.69</v>
      </c>
      <c r="J61" s="28">
        <v>218.84</v>
      </c>
      <c r="K61" s="28">
        <v>0</v>
      </c>
      <c r="L61" s="28">
        <v>0</v>
      </c>
      <c r="M61" s="28">
        <v>36</v>
      </c>
      <c r="N61" s="28">
        <v>6286.02</v>
      </c>
      <c r="O61" s="28">
        <v>454.52</v>
      </c>
      <c r="P61" s="142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4"/>
      <c r="AD61" s="4"/>
      <c r="AE61" s="4"/>
      <c r="AF61" s="4"/>
      <c r="AG61" s="4"/>
    </row>
    <row r="62" spans="1:33" ht="24.75" customHeight="1" x14ac:dyDescent="0.35">
      <c r="A62" s="33" t="s">
        <v>29</v>
      </c>
      <c r="B62" s="19"/>
      <c r="C62" s="131">
        <f t="shared" si="12"/>
        <v>136.12</v>
      </c>
      <c r="D62" s="27">
        <v>24.3</v>
      </c>
      <c r="E62" s="28">
        <v>0</v>
      </c>
      <c r="F62" s="28">
        <v>31</v>
      </c>
      <c r="G62" s="28">
        <v>3</v>
      </c>
      <c r="H62" s="28">
        <v>0.94</v>
      </c>
      <c r="I62" s="28">
        <v>25</v>
      </c>
      <c r="J62" s="28">
        <v>0</v>
      </c>
      <c r="K62" s="28">
        <v>0.94</v>
      </c>
      <c r="L62" s="28">
        <v>25</v>
      </c>
      <c r="M62" s="28">
        <v>0</v>
      </c>
      <c r="N62" s="28">
        <v>0.94</v>
      </c>
      <c r="O62" s="28">
        <v>25</v>
      </c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4"/>
      <c r="AD62" s="4"/>
      <c r="AE62" s="4"/>
      <c r="AF62" s="4"/>
      <c r="AG62" s="4"/>
    </row>
    <row r="63" spans="1:33" ht="23.1" customHeight="1" x14ac:dyDescent="0.35">
      <c r="A63" s="33" t="s">
        <v>30</v>
      </c>
      <c r="B63" s="33"/>
      <c r="C63" s="131">
        <f>SUM(C64:C68)</f>
        <v>59285.12000000001</v>
      </c>
      <c r="D63" s="27">
        <f t="shared" ref="D63:O63" si="13">SUM(D64:D68)</f>
        <v>19803.420000000006</v>
      </c>
      <c r="E63" s="28">
        <f t="shared" si="13"/>
        <v>1930.5199999999998</v>
      </c>
      <c r="F63" s="28">
        <f t="shared" si="13"/>
        <v>1495.35</v>
      </c>
      <c r="G63" s="28">
        <f t="shared" si="13"/>
        <v>3683.26</v>
      </c>
      <c r="H63" s="28">
        <f t="shared" si="13"/>
        <v>1394.81</v>
      </c>
      <c r="I63" s="28">
        <f t="shared" si="13"/>
        <v>3943.48</v>
      </c>
      <c r="J63" s="28">
        <f t="shared" si="13"/>
        <v>4311.5499999999993</v>
      </c>
      <c r="K63" s="28">
        <f t="shared" si="13"/>
        <v>2975.74</v>
      </c>
      <c r="L63" s="28">
        <f t="shared" si="13"/>
        <v>6132.18</v>
      </c>
      <c r="M63" s="28">
        <f t="shared" si="13"/>
        <v>3671.7799999999997</v>
      </c>
      <c r="N63" s="28">
        <f t="shared" si="13"/>
        <v>4167.42</v>
      </c>
      <c r="O63" s="28">
        <f t="shared" si="13"/>
        <v>5775.61</v>
      </c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4"/>
      <c r="AD63" s="4"/>
      <c r="AE63" s="4"/>
      <c r="AF63" s="4"/>
      <c r="AG63" s="4"/>
    </row>
    <row r="64" spans="1:33" ht="18.95" hidden="1" customHeight="1" outlineLevel="1" x14ac:dyDescent="0.35">
      <c r="A64" s="19" t="s">
        <v>31</v>
      </c>
      <c r="B64" s="19"/>
      <c r="C64" s="132">
        <f t="shared" ref="C64:C76" si="14">SUM(D64:O64)</f>
        <v>2337.0499999999997</v>
      </c>
      <c r="D64" s="27">
        <v>159.97</v>
      </c>
      <c r="E64" s="28">
        <v>195.58</v>
      </c>
      <c r="F64" s="28">
        <v>203.73</v>
      </c>
      <c r="G64" s="28">
        <v>200.77</v>
      </c>
      <c r="H64" s="28">
        <v>200.77</v>
      </c>
      <c r="I64" s="28">
        <v>200.77</v>
      </c>
      <c r="J64" s="28">
        <v>163</v>
      </c>
      <c r="K64" s="28">
        <v>223.19</v>
      </c>
      <c r="L64" s="28">
        <v>193.33</v>
      </c>
      <c r="M64" s="28">
        <v>193.33</v>
      </c>
      <c r="N64" s="28">
        <v>209.28</v>
      </c>
      <c r="O64" s="28">
        <v>193.33</v>
      </c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4"/>
      <c r="AD64" s="4"/>
      <c r="AE64" s="4"/>
      <c r="AF64" s="4"/>
      <c r="AG64" s="4"/>
    </row>
    <row r="65" spans="1:33" ht="21.95" hidden="1" customHeight="1" outlineLevel="1" x14ac:dyDescent="0.35">
      <c r="A65" s="19" t="s">
        <v>32</v>
      </c>
      <c r="B65" s="19"/>
      <c r="C65" s="132">
        <f t="shared" si="14"/>
        <v>36374.19</v>
      </c>
      <c r="D65" s="27">
        <v>17062.830000000002</v>
      </c>
      <c r="E65" s="28">
        <v>1520.27</v>
      </c>
      <c r="F65" s="28">
        <v>-1244.8900000000001</v>
      </c>
      <c r="G65" s="28">
        <v>1066.71</v>
      </c>
      <c r="H65" s="28">
        <v>936.98</v>
      </c>
      <c r="I65" s="28">
        <v>1181.32</v>
      </c>
      <c r="J65" s="28">
        <v>1515.4</v>
      </c>
      <c r="K65" s="28">
        <v>2535.19</v>
      </c>
      <c r="L65" s="28">
        <v>3554.11</v>
      </c>
      <c r="M65" s="28">
        <v>3251.9</v>
      </c>
      <c r="N65" s="28">
        <v>1776.37</v>
      </c>
      <c r="O65" s="28">
        <v>3218</v>
      </c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4"/>
      <c r="AD65" s="4"/>
      <c r="AE65" s="4"/>
      <c r="AF65" s="4"/>
      <c r="AG65" s="4"/>
    </row>
    <row r="66" spans="1:33" ht="21.95" hidden="1" customHeight="1" outlineLevel="1" x14ac:dyDescent="0.35">
      <c r="A66" s="19" t="s">
        <v>44</v>
      </c>
      <c r="B66" s="19"/>
      <c r="C66" s="132">
        <f t="shared" si="14"/>
        <v>1361.3</v>
      </c>
      <c r="D66" s="27">
        <v>195.74</v>
      </c>
      <c r="E66" s="28">
        <v>22.62</v>
      </c>
      <c r="F66" s="28">
        <v>209.3</v>
      </c>
      <c r="G66" s="28">
        <v>4.9000000000000004</v>
      </c>
      <c r="H66" s="28">
        <v>22.62</v>
      </c>
      <c r="I66" s="28">
        <v>268.8</v>
      </c>
      <c r="J66" s="28">
        <v>23.37</v>
      </c>
      <c r="K66" s="28">
        <v>39.869999999999997</v>
      </c>
      <c r="L66" s="28">
        <v>300.86</v>
      </c>
      <c r="M66" s="28">
        <v>46.74</v>
      </c>
      <c r="N66" s="28">
        <v>0</v>
      </c>
      <c r="O66" s="28">
        <v>226.48</v>
      </c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4"/>
      <c r="AD66" s="4"/>
      <c r="AE66" s="4"/>
      <c r="AF66" s="4"/>
      <c r="AG66" s="4"/>
    </row>
    <row r="67" spans="1:33" ht="20.100000000000001" hidden="1" customHeight="1" outlineLevel="1" x14ac:dyDescent="0.35">
      <c r="A67" s="19" t="s">
        <v>33</v>
      </c>
      <c r="B67" s="19"/>
      <c r="C67" s="132">
        <f t="shared" si="14"/>
        <v>18319.78</v>
      </c>
      <c r="D67" s="28">
        <v>2311.1799999999998</v>
      </c>
      <c r="E67" s="28">
        <v>130.74</v>
      </c>
      <c r="F67" s="28">
        <v>2258.29</v>
      </c>
      <c r="G67" s="28">
        <v>2410.88</v>
      </c>
      <c r="H67" s="28">
        <v>117.5</v>
      </c>
      <c r="I67" s="28">
        <v>2180.59</v>
      </c>
      <c r="J67" s="28">
        <v>2478.87</v>
      </c>
      <c r="K67" s="28">
        <v>160.44999999999999</v>
      </c>
      <c r="L67" s="28">
        <v>1954.7</v>
      </c>
      <c r="M67" s="28">
        <v>89.09</v>
      </c>
      <c r="N67" s="28">
        <v>2124.8000000000002</v>
      </c>
      <c r="O67" s="28">
        <v>2102.69</v>
      </c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4"/>
      <c r="AD67" s="4"/>
      <c r="AE67" s="4"/>
      <c r="AF67" s="4"/>
      <c r="AG67" s="4"/>
    </row>
    <row r="68" spans="1:33" ht="20.100000000000001" hidden="1" customHeight="1" outlineLevel="1" x14ac:dyDescent="0.35">
      <c r="A68" s="19" t="s">
        <v>34</v>
      </c>
      <c r="B68" s="19"/>
      <c r="C68" s="132">
        <f t="shared" si="14"/>
        <v>892.80000000000007</v>
      </c>
      <c r="D68" s="27">
        <v>73.7</v>
      </c>
      <c r="E68" s="28">
        <v>61.31</v>
      </c>
      <c r="F68" s="28">
        <v>68.92</v>
      </c>
      <c r="G68" s="28">
        <v>0</v>
      </c>
      <c r="H68" s="28">
        <v>116.94</v>
      </c>
      <c r="I68" s="28">
        <v>112</v>
      </c>
      <c r="J68" s="28">
        <v>130.91</v>
      </c>
      <c r="K68" s="28">
        <v>17.04</v>
      </c>
      <c r="L68" s="28">
        <v>129.18</v>
      </c>
      <c r="M68" s="28">
        <v>90.72</v>
      </c>
      <c r="N68" s="28">
        <v>56.97</v>
      </c>
      <c r="O68" s="28">
        <v>35.11</v>
      </c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4"/>
      <c r="AD68" s="4"/>
      <c r="AE68" s="4"/>
      <c r="AF68" s="4"/>
      <c r="AG68" s="4"/>
    </row>
    <row r="69" spans="1:33" ht="23.1" customHeight="1" collapsed="1" x14ac:dyDescent="0.35">
      <c r="A69" s="33" t="s">
        <v>38</v>
      </c>
      <c r="B69" s="19"/>
      <c r="C69" s="131">
        <f t="shared" si="14"/>
        <v>8385.4399999999987</v>
      </c>
      <c r="D69" s="28">
        <f>SUM(D70:D76)</f>
        <v>943.5</v>
      </c>
      <c r="E69" s="28">
        <f t="shared" ref="E69:O69" si="15">SUM(E70:E76)</f>
        <v>304.23</v>
      </c>
      <c r="F69" s="28">
        <f t="shared" si="15"/>
        <v>194.25</v>
      </c>
      <c r="G69" s="28">
        <f t="shared" si="15"/>
        <v>508.01</v>
      </c>
      <c r="H69" s="28">
        <f t="shared" si="15"/>
        <v>535.5</v>
      </c>
      <c r="I69" s="28">
        <f t="shared" si="15"/>
        <v>536.46</v>
      </c>
      <c r="J69" s="28">
        <f t="shared" si="15"/>
        <v>1341.92</v>
      </c>
      <c r="K69" s="28">
        <f t="shared" si="15"/>
        <v>378.82</v>
      </c>
      <c r="L69" s="28">
        <f t="shared" si="15"/>
        <v>353.19</v>
      </c>
      <c r="M69" s="28">
        <f t="shared" si="15"/>
        <v>291.55</v>
      </c>
      <c r="N69" s="28">
        <f t="shared" si="15"/>
        <v>1508.76</v>
      </c>
      <c r="O69" s="28">
        <f t="shared" si="15"/>
        <v>1489.25</v>
      </c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4"/>
      <c r="AD69" s="4"/>
      <c r="AE69" s="4"/>
      <c r="AF69" s="4"/>
      <c r="AG69" s="4"/>
    </row>
    <row r="70" spans="1:33" ht="23.1" hidden="1" customHeight="1" outlineLevel="1" x14ac:dyDescent="0.35">
      <c r="A70" s="19" t="s">
        <v>106</v>
      </c>
      <c r="B70" s="19"/>
      <c r="C70" s="132">
        <f t="shared" si="14"/>
        <v>4919.5600000000004</v>
      </c>
      <c r="D70" s="27">
        <v>629.59</v>
      </c>
      <c r="E70" s="28">
        <v>211.32</v>
      </c>
      <c r="F70" s="28">
        <v>98.48</v>
      </c>
      <c r="G70" s="28">
        <v>86.99</v>
      </c>
      <c r="H70" s="28">
        <v>210.73</v>
      </c>
      <c r="I70" s="28">
        <v>297.23</v>
      </c>
      <c r="J70" s="28">
        <v>56.9</v>
      </c>
      <c r="K70" s="28">
        <v>283.05</v>
      </c>
      <c r="L70" s="28">
        <v>185.42</v>
      </c>
      <c r="M70" s="28">
        <v>105.67</v>
      </c>
      <c r="N70" s="28">
        <v>1264.93</v>
      </c>
      <c r="O70" s="28">
        <v>1489.25</v>
      </c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4"/>
      <c r="AD70" s="4"/>
      <c r="AE70" s="4"/>
      <c r="AF70" s="4"/>
      <c r="AG70" s="4"/>
    </row>
    <row r="71" spans="1:33" ht="21.95" hidden="1" customHeight="1" outlineLevel="2" x14ac:dyDescent="0.35">
      <c r="A71" s="19" t="s">
        <v>107</v>
      </c>
      <c r="B71" s="19"/>
      <c r="C71" s="132">
        <f t="shared" si="14"/>
        <v>1050.6099999999999</v>
      </c>
      <c r="D71" s="27">
        <v>95.77</v>
      </c>
      <c r="E71" s="28">
        <v>92.91</v>
      </c>
      <c r="F71" s="28">
        <v>95.77</v>
      </c>
      <c r="G71" s="28">
        <v>95.77</v>
      </c>
      <c r="H71" s="28">
        <v>95.77</v>
      </c>
      <c r="I71" s="28">
        <v>95.77</v>
      </c>
      <c r="J71" s="28">
        <v>95.77</v>
      </c>
      <c r="K71" s="28">
        <v>95.77</v>
      </c>
      <c r="L71" s="28">
        <v>95.77</v>
      </c>
      <c r="M71" s="28">
        <v>95.77</v>
      </c>
      <c r="N71" s="28">
        <v>95.77</v>
      </c>
      <c r="O71" s="28">
        <v>0</v>
      </c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4"/>
      <c r="AD71" s="4"/>
      <c r="AE71" s="4"/>
      <c r="AF71" s="4"/>
      <c r="AG71" s="4"/>
    </row>
    <row r="72" spans="1:33" ht="24" hidden="1" customHeight="1" outlineLevel="2" x14ac:dyDescent="0.35">
      <c r="A72" s="19" t="s">
        <v>108</v>
      </c>
      <c r="B72" s="19"/>
      <c r="C72" s="132">
        <f t="shared" si="14"/>
        <v>1563.2800000000002</v>
      </c>
      <c r="D72" s="27">
        <v>0</v>
      </c>
      <c r="E72" s="28">
        <v>0</v>
      </c>
      <c r="F72" s="28">
        <v>0</v>
      </c>
      <c r="G72" s="28">
        <v>235.14</v>
      </c>
      <c r="H72" s="28">
        <v>229</v>
      </c>
      <c r="I72" s="28">
        <v>0</v>
      </c>
      <c r="J72" s="28">
        <v>1099.1400000000001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4"/>
      <c r="AD72" s="4"/>
      <c r="AE72" s="4"/>
      <c r="AF72" s="4"/>
      <c r="AG72" s="4"/>
    </row>
    <row r="73" spans="1:33" ht="20.100000000000001" hidden="1" customHeight="1" outlineLevel="2" x14ac:dyDescent="0.35">
      <c r="A73" s="19" t="s">
        <v>109</v>
      </c>
      <c r="B73" s="19"/>
      <c r="C73" s="132">
        <f t="shared" si="14"/>
        <v>360.44</v>
      </c>
      <c r="D73" s="27">
        <v>90.11</v>
      </c>
      <c r="E73" s="28">
        <v>0</v>
      </c>
      <c r="F73" s="28">
        <v>0</v>
      </c>
      <c r="G73" s="28">
        <v>90.11</v>
      </c>
      <c r="H73" s="28">
        <v>0</v>
      </c>
      <c r="I73" s="28">
        <v>0</v>
      </c>
      <c r="J73" s="28">
        <v>90.11</v>
      </c>
      <c r="K73" s="28">
        <v>0</v>
      </c>
      <c r="L73" s="28">
        <v>0</v>
      </c>
      <c r="M73" s="28">
        <v>90.11</v>
      </c>
      <c r="N73" s="28">
        <v>0</v>
      </c>
      <c r="O73" s="28">
        <v>0</v>
      </c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4"/>
      <c r="AD73" s="4"/>
      <c r="AE73" s="4"/>
      <c r="AF73" s="4"/>
      <c r="AG73" s="4"/>
    </row>
    <row r="74" spans="1:33" ht="23.1" hidden="1" customHeight="1" outlineLevel="2" x14ac:dyDescent="0.35">
      <c r="A74" s="19" t="s">
        <v>110</v>
      </c>
      <c r="B74" s="19"/>
      <c r="C74" s="132">
        <f t="shared" si="14"/>
        <v>291.52</v>
      </c>
      <c r="D74" s="27">
        <v>0</v>
      </c>
      <c r="E74" s="28">
        <v>0</v>
      </c>
      <c r="F74" s="28">
        <v>0</v>
      </c>
      <c r="G74" s="28">
        <v>0</v>
      </c>
      <c r="H74" s="28">
        <v>0</v>
      </c>
      <c r="I74" s="28">
        <v>143.46</v>
      </c>
      <c r="J74" s="28">
        <v>0</v>
      </c>
      <c r="K74" s="28">
        <v>0</v>
      </c>
      <c r="L74" s="28">
        <v>0</v>
      </c>
      <c r="M74" s="28">
        <v>0</v>
      </c>
      <c r="N74" s="28">
        <v>148.06</v>
      </c>
      <c r="O74" s="28">
        <v>0</v>
      </c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4"/>
      <c r="AD74" s="4"/>
      <c r="AE74" s="4"/>
      <c r="AF74" s="4"/>
      <c r="AG74" s="4"/>
    </row>
    <row r="75" spans="1:33" ht="23.1" hidden="1" customHeight="1" outlineLevel="2" x14ac:dyDescent="0.35">
      <c r="A75" s="19" t="s">
        <v>111</v>
      </c>
      <c r="B75" s="19"/>
      <c r="C75" s="132">
        <f t="shared" si="14"/>
        <v>128.03</v>
      </c>
      <c r="D75" s="27">
        <v>128.03</v>
      </c>
      <c r="E75" s="28">
        <v>0</v>
      </c>
      <c r="F75" s="28">
        <v>0</v>
      </c>
      <c r="G75" s="28">
        <v>0</v>
      </c>
      <c r="H75" s="28">
        <v>0</v>
      </c>
      <c r="I75" s="28">
        <v>0</v>
      </c>
      <c r="J75" s="28">
        <v>0</v>
      </c>
      <c r="K75" s="28">
        <v>0</v>
      </c>
      <c r="L75" s="28">
        <v>0</v>
      </c>
      <c r="M75" s="28">
        <v>0</v>
      </c>
      <c r="N75" s="28">
        <v>0</v>
      </c>
      <c r="O75" s="28">
        <v>0</v>
      </c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4"/>
      <c r="AD75" s="4"/>
      <c r="AE75" s="4"/>
      <c r="AF75" s="4"/>
      <c r="AG75" s="4"/>
    </row>
    <row r="76" spans="1:33" ht="21.95" hidden="1" customHeight="1" outlineLevel="2" x14ac:dyDescent="0.35">
      <c r="A76" s="19" t="s">
        <v>112</v>
      </c>
      <c r="B76" s="19"/>
      <c r="C76" s="132">
        <f t="shared" si="14"/>
        <v>72</v>
      </c>
      <c r="D76" s="27">
        <v>0</v>
      </c>
      <c r="E76" s="28">
        <v>0</v>
      </c>
      <c r="F76" s="28">
        <v>0</v>
      </c>
      <c r="G76" s="28">
        <v>0</v>
      </c>
      <c r="H76" s="28">
        <v>0</v>
      </c>
      <c r="I76" s="28">
        <v>0</v>
      </c>
      <c r="J76" s="28">
        <v>0</v>
      </c>
      <c r="K76" s="28">
        <v>0</v>
      </c>
      <c r="L76" s="28">
        <v>72</v>
      </c>
      <c r="M76" s="28">
        <v>0</v>
      </c>
      <c r="N76" s="28">
        <v>0</v>
      </c>
      <c r="O76" s="28">
        <v>0</v>
      </c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4"/>
      <c r="AD76" s="4"/>
      <c r="AE76" s="4"/>
      <c r="AF76" s="4"/>
      <c r="AG76" s="4"/>
    </row>
    <row r="77" spans="1:33" ht="18.95" customHeight="1" collapsed="1" x14ac:dyDescent="0.35">
      <c r="A77" s="33" t="s">
        <v>37</v>
      </c>
      <c r="B77" s="47"/>
      <c r="C77" s="131">
        <f>SUM(D77:O77)</f>
        <v>10825.150000000001</v>
      </c>
      <c r="D77" s="27">
        <v>0</v>
      </c>
      <c r="E77" s="28">
        <v>4.18</v>
      </c>
      <c r="F77" s="28">
        <v>0</v>
      </c>
      <c r="G77" s="28">
        <v>507.4</v>
      </c>
      <c r="H77" s="28">
        <v>0</v>
      </c>
      <c r="I77" s="28">
        <v>1266.8599999999999</v>
      </c>
      <c r="J77" s="28">
        <v>4.18</v>
      </c>
      <c r="K77" s="28">
        <v>12.48</v>
      </c>
      <c r="L77" s="28">
        <v>0</v>
      </c>
      <c r="M77" s="28">
        <v>4.18</v>
      </c>
      <c r="N77" s="28">
        <v>9025.8700000000008</v>
      </c>
      <c r="O77" s="28">
        <v>0</v>
      </c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4"/>
      <c r="AD77" s="4"/>
      <c r="AE77" s="4"/>
      <c r="AF77" s="4"/>
      <c r="AG77" s="4"/>
    </row>
    <row r="78" spans="1:33" ht="21" customHeight="1" thickBot="1" x14ac:dyDescent="0.4">
      <c r="A78" s="48" t="s">
        <v>51</v>
      </c>
      <c r="B78" s="48"/>
      <c r="C78" s="135">
        <f>SUM(C79:C82)</f>
        <v>392116.27679999999</v>
      </c>
      <c r="D78" s="49">
        <f>SUM(D79:D82)</f>
        <v>23356.707600000002</v>
      </c>
      <c r="E78" s="43">
        <f>SUM(E79:E82)</f>
        <v>22141.3292</v>
      </c>
      <c r="F78" s="43">
        <f t="shared" ref="F78:O78" si="16">SUM(F79:F82)</f>
        <v>21930.673200000001</v>
      </c>
      <c r="G78" s="43">
        <f t="shared" si="16"/>
        <v>22355.929199999999</v>
      </c>
      <c r="H78" s="43">
        <f t="shared" si="16"/>
        <v>20908.597200000004</v>
      </c>
      <c r="I78" s="43">
        <f t="shared" si="16"/>
        <v>22279.9028</v>
      </c>
      <c r="J78" s="43">
        <f t="shared" si="16"/>
        <v>20927.412400000001</v>
      </c>
      <c r="K78" s="43">
        <f t="shared" si="16"/>
        <v>20939.256000000001</v>
      </c>
      <c r="L78" s="43">
        <f t="shared" si="16"/>
        <v>68259.855199999991</v>
      </c>
      <c r="M78" s="43">
        <f t="shared" si="16"/>
        <v>79249.927199999991</v>
      </c>
      <c r="N78" s="43">
        <f t="shared" si="16"/>
        <v>45752.073600000003</v>
      </c>
      <c r="O78" s="43">
        <f t="shared" si="16"/>
        <v>24014.6132</v>
      </c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4"/>
      <c r="AD78" s="4"/>
      <c r="AE78" s="4"/>
      <c r="AF78" s="4"/>
      <c r="AG78" s="4"/>
    </row>
    <row r="79" spans="1:33" ht="21" hidden="1" customHeight="1" outlineLevel="1" x14ac:dyDescent="0.35">
      <c r="A79" s="19" t="s">
        <v>103</v>
      </c>
      <c r="B79" s="33"/>
      <c r="C79" s="132">
        <f t="shared" ref="C79:C82" si="17">SUM(D79:O79)</f>
        <v>83712</v>
      </c>
      <c r="D79" s="27">
        <f>3488*2</f>
        <v>6976</v>
      </c>
      <c r="E79" s="28">
        <f>3488*2</f>
        <v>6976</v>
      </c>
      <c r="F79" s="28">
        <f t="shared" ref="F79:O79" si="18">3488*2</f>
        <v>6976</v>
      </c>
      <c r="G79" s="28">
        <f t="shared" si="18"/>
        <v>6976</v>
      </c>
      <c r="H79" s="28">
        <f t="shared" si="18"/>
        <v>6976</v>
      </c>
      <c r="I79" s="28">
        <f t="shared" si="18"/>
        <v>6976</v>
      </c>
      <c r="J79" s="28">
        <f t="shared" si="18"/>
        <v>6976</v>
      </c>
      <c r="K79" s="28">
        <f t="shared" si="18"/>
        <v>6976</v>
      </c>
      <c r="L79" s="28">
        <f t="shared" si="18"/>
        <v>6976</v>
      </c>
      <c r="M79" s="28">
        <f t="shared" si="18"/>
        <v>6976</v>
      </c>
      <c r="N79" s="28">
        <f t="shared" si="18"/>
        <v>6976</v>
      </c>
      <c r="O79" s="28">
        <f t="shared" si="18"/>
        <v>6976</v>
      </c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4"/>
      <c r="AD79" s="4"/>
      <c r="AE79" s="4"/>
      <c r="AF79" s="4"/>
      <c r="AG79" s="4"/>
    </row>
    <row r="80" spans="1:33" ht="21" hidden="1" customHeight="1" outlineLevel="1" x14ac:dyDescent="0.35">
      <c r="A80" s="19" t="s">
        <v>104</v>
      </c>
      <c r="B80" s="33"/>
      <c r="C80" s="132">
        <f t="shared" si="17"/>
        <v>22546.079999999998</v>
      </c>
      <c r="D80" s="27">
        <f>939.42*2</f>
        <v>1878.84</v>
      </c>
      <c r="E80" s="28">
        <f>939.42*2</f>
        <v>1878.84</v>
      </c>
      <c r="F80" s="28">
        <f t="shared" ref="F80:N80" si="19">939.42*2</f>
        <v>1878.84</v>
      </c>
      <c r="G80" s="28">
        <f t="shared" si="19"/>
        <v>1878.84</v>
      </c>
      <c r="H80" s="28">
        <f t="shared" si="19"/>
        <v>1878.84</v>
      </c>
      <c r="I80" s="28">
        <f t="shared" si="19"/>
        <v>1878.84</v>
      </c>
      <c r="J80" s="28">
        <f t="shared" si="19"/>
        <v>1878.84</v>
      </c>
      <c r="K80" s="28">
        <f t="shared" si="19"/>
        <v>1878.84</v>
      </c>
      <c r="L80" s="28">
        <f t="shared" si="19"/>
        <v>1878.84</v>
      </c>
      <c r="M80" s="28">
        <f t="shared" si="19"/>
        <v>1878.84</v>
      </c>
      <c r="N80" s="28">
        <f t="shared" si="19"/>
        <v>1878.84</v>
      </c>
      <c r="O80" s="28">
        <f>939.42*2</f>
        <v>1878.84</v>
      </c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4"/>
      <c r="AD80" s="4"/>
      <c r="AE80" s="4"/>
      <c r="AF80" s="4"/>
      <c r="AG80" s="4"/>
    </row>
    <row r="81" spans="1:101" ht="21" hidden="1" outlineLevel="1" x14ac:dyDescent="0.35">
      <c r="A81" s="19" t="s">
        <v>102</v>
      </c>
      <c r="B81" s="19"/>
      <c r="C81" s="132">
        <f t="shared" si="17"/>
        <v>246429.47999999998</v>
      </c>
      <c r="D81" s="27">
        <v>12501.61</v>
      </c>
      <c r="E81" s="28">
        <v>11453.87</v>
      </c>
      <c r="F81" s="28">
        <v>11272.27</v>
      </c>
      <c r="G81" s="28">
        <v>11638.87</v>
      </c>
      <c r="H81" s="28">
        <v>10391.17</v>
      </c>
      <c r="I81" s="28">
        <v>11573.33</v>
      </c>
      <c r="J81" s="28">
        <v>10407.39</v>
      </c>
      <c r="K81" s="28">
        <v>10417.6</v>
      </c>
      <c r="L81" s="28">
        <v>51211.22</v>
      </c>
      <c r="M81" s="28">
        <v>60685.42</v>
      </c>
      <c r="N81" s="28">
        <v>31807.96</v>
      </c>
      <c r="O81" s="28">
        <v>13068.77</v>
      </c>
      <c r="P81" s="152"/>
      <c r="Q81" s="142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4"/>
      <c r="AD81" s="4"/>
      <c r="AE81" s="4"/>
      <c r="AF81" s="4"/>
      <c r="AG81" s="4"/>
    </row>
    <row r="82" spans="1:101" ht="24.95" hidden="1" customHeight="1" outlineLevel="1" thickBot="1" x14ac:dyDescent="0.4">
      <c r="A82" s="19" t="s">
        <v>39</v>
      </c>
      <c r="B82" s="19"/>
      <c r="C82" s="132">
        <f t="shared" si="17"/>
        <v>39428.716799999995</v>
      </c>
      <c r="D82" s="27">
        <f>+D81*0.16</f>
        <v>2000.2576000000001</v>
      </c>
      <c r="E82" s="28">
        <f t="shared" ref="E82:O82" si="20">+E81*0.16</f>
        <v>1832.6192000000001</v>
      </c>
      <c r="F82" s="28">
        <f t="shared" si="20"/>
        <v>1803.5632000000001</v>
      </c>
      <c r="G82" s="28">
        <f t="shared" si="20"/>
        <v>1862.2192000000002</v>
      </c>
      <c r="H82" s="28">
        <f t="shared" si="20"/>
        <v>1662.5871999999999</v>
      </c>
      <c r="I82" s="28">
        <f t="shared" si="20"/>
        <v>1851.7328</v>
      </c>
      <c r="J82" s="28">
        <f t="shared" si="20"/>
        <v>1665.1823999999999</v>
      </c>
      <c r="K82" s="28">
        <f t="shared" si="20"/>
        <v>1666.816</v>
      </c>
      <c r="L82" s="28">
        <f t="shared" si="20"/>
        <v>8193.7952000000005</v>
      </c>
      <c r="M82" s="28">
        <f t="shared" si="20"/>
        <v>9709.6671999999999</v>
      </c>
      <c r="N82" s="28">
        <f t="shared" si="20"/>
        <v>5089.2735999999995</v>
      </c>
      <c r="O82" s="28">
        <f t="shared" si="20"/>
        <v>2091.0032000000001</v>
      </c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4"/>
      <c r="AD82" s="4"/>
      <c r="AE82" s="4"/>
      <c r="AF82" s="4"/>
      <c r="AG82" s="4"/>
    </row>
    <row r="83" spans="1:101" s="3" customFormat="1" ht="27.95" customHeight="1" collapsed="1" thickBot="1" x14ac:dyDescent="0.4">
      <c r="A83" s="143" t="s">
        <v>82</v>
      </c>
      <c r="B83" s="144"/>
      <c r="C83" s="166">
        <f t="shared" ref="C83:O83" si="21">C33-C35</f>
        <v>-92593.927159999963</v>
      </c>
      <c r="D83" s="51">
        <f t="shared" si="21"/>
        <v>-98765.687932600005</v>
      </c>
      <c r="E83" s="50">
        <f t="shared" si="21"/>
        <v>-46217.317635599997</v>
      </c>
      <c r="F83" s="50">
        <f t="shared" si="21"/>
        <v>-32277.918949999992</v>
      </c>
      <c r="G83" s="50">
        <f t="shared" si="21"/>
        <v>-52918.526629999993</v>
      </c>
      <c r="H83" s="50">
        <f t="shared" si="21"/>
        <v>-58235.401599999997</v>
      </c>
      <c r="I83" s="50">
        <f t="shared" si="21"/>
        <v>-52675.838669999997</v>
      </c>
      <c r="J83" s="50">
        <f t="shared" si="21"/>
        <v>-40923.4799432</v>
      </c>
      <c r="K83" s="50">
        <f t="shared" si="21"/>
        <v>-39789.932929999995</v>
      </c>
      <c r="L83" s="50">
        <f t="shared" si="21"/>
        <v>-23906.471674399974</v>
      </c>
      <c r="M83" s="50">
        <f t="shared" si="21"/>
        <v>-137507.16599999997</v>
      </c>
      <c r="N83" s="50">
        <f t="shared" si="21"/>
        <v>-127925.68520000001</v>
      </c>
      <c r="O83" s="50">
        <f t="shared" si="21"/>
        <v>618549.50000579993</v>
      </c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5"/>
      <c r="AD83" s="5"/>
      <c r="AE83" s="5"/>
      <c r="AF83" s="5"/>
      <c r="AG83" s="5"/>
    </row>
    <row r="84" spans="1:101" s="3" customFormat="1" ht="18" customHeight="1" thickBot="1" x14ac:dyDescent="0.4">
      <c r="A84" s="34" t="s">
        <v>74</v>
      </c>
      <c r="B84" s="35"/>
      <c r="C84" s="133">
        <f>SUM(D84:O84)</f>
        <v>46800</v>
      </c>
      <c r="D84" s="52"/>
      <c r="E84" s="53"/>
      <c r="F84" s="53">
        <v>11700</v>
      </c>
      <c r="G84" s="53"/>
      <c r="H84" s="53"/>
      <c r="I84" s="53">
        <v>11700</v>
      </c>
      <c r="J84" s="53"/>
      <c r="K84" s="53"/>
      <c r="L84" s="53">
        <v>11700</v>
      </c>
      <c r="M84" s="53"/>
      <c r="N84" s="53"/>
      <c r="O84" s="53">
        <v>11700</v>
      </c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5"/>
      <c r="AD84" s="5"/>
      <c r="AE84" s="5"/>
      <c r="AF84" s="5"/>
      <c r="AG84" s="5"/>
    </row>
    <row r="85" spans="1:101" s="3" customFormat="1" ht="18" customHeight="1" thickBot="1" x14ac:dyDescent="0.4">
      <c r="A85" s="34" t="s">
        <v>93</v>
      </c>
      <c r="B85" s="35"/>
      <c r="C85" s="133">
        <f>SUM(D85:O85)</f>
        <v>0</v>
      </c>
      <c r="D85" s="52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5"/>
      <c r="AD85" s="5"/>
      <c r="AE85" s="5"/>
      <c r="AF85" s="5"/>
      <c r="AG85" s="5"/>
    </row>
    <row r="86" spans="1:101" s="3" customFormat="1" ht="21.75" thickBot="1" x14ac:dyDescent="0.4">
      <c r="A86" s="54" t="s">
        <v>81</v>
      </c>
      <c r="B86" s="55"/>
      <c r="C86" s="136">
        <f>C83-C84+C85</f>
        <v>-139393.92715999996</v>
      </c>
      <c r="D86" s="56">
        <f t="shared" ref="D86:O86" si="22">D83-D84+D85</f>
        <v>-98765.687932600005</v>
      </c>
      <c r="E86" s="56">
        <f t="shared" si="22"/>
        <v>-46217.317635599997</v>
      </c>
      <c r="F86" s="56">
        <f t="shared" si="22"/>
        <v>-43977.918949999992</v>
      </c>
      <c r="G86" s="56">
        <f t="shared" si="22"/>
        <v>-52918.526629999993</v>
      </c>
      <c r="H86" s="56">
        <f t="shared" si="22"/>
        <v>-58235.401599999997</v>
      </c>
      <c r="I86" s="56">
        <f t="shared" si="22"/>
        <v>-64375.838669999997</v>
      </c>
      <c r="J86" s="56">
        <f t="shared" si="22"/>
        <v>-40923.4799432</v>
      </c>
      <c r="K86" s="56">
        <f t="shared" si="22"/>
        <v>-39789.932929999995</v>
      </c>
      <c r="L86" s="56">
        <f t="shared" si="22"/>
        <v>-35606.471674399974</v>
      </c>
      <c r="M86" s="56">
        <f t="shared" si="22"/>
        <v>-137507.16599999997</v>
      </c>
      <c r="N86" s="56">
        <f t="shared" si="22"/>
        <v>-127925.68520000001</v>
      </c>
      <c r="O86" s="56">
        <f t="shared" si="22"/>
        <v>606849.50000579993</v>
      </c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5"/>
      <c r="AD86" s="5"/>
      <c r="AE86" s="5"/>
      <c r="AF86" s="5"/>
      <c r="AG86" s="5"/>
    </row>
    <row r="87" spans="1:101" s="3" customFormat="1" ht="21.75" thickBot="1" x14ac:dyDescent="0.4">
      <c r="A87" s="34" t="s">
        <v>3</v>
      </c>
      <c r="B87" s="57"/>
      <c r="C87" s="133">
        <f t="shared" ref="C87:O87" si="23">SUM(C88:C90)</f>
        <v>102898.99</v>
      </c>
      <c r="D87" s="37">
        <f t="shared" si="23"/>
        <v>276.13</v>
      </c>
      <c r="E87" s="36">
        <f t="shared" si="23"/>
        <v>0</v>
      </c>
      <c r="F87" s="36">
        <f t="shared" si="23"/>
        <v>0</v>
      </c>
      <c r="G87" s="36">
        <f t="shared" si="23"/>
        <v>2577.54</v>
      </c>
      <c r="H87" s="36">
        <f t="shared" si="23"/>
        <v>2.94</v>
      </c>
      <c r="I87" s="36">
        <f t="shared" si="23"/>
        <v>24.41</v>
      </c>
      <c r="J87" s="36">
        <f t="shared" si="23"/>
        <v>0</v>
      </c>
      <c r="K87" s="36">
        <f t="shared" si="23"/>
        <v>11.66</v>
      </c>
      <c r="L87" s="36">
        <f t="shared" si="23"/>
        <v>0</v>
      </c>
      <c r="M87" s="36">
        <f t="shared" si="23"/>
        <v>0</v>
      </c>
      <c r="N87" s="36">
        <f t="shared" si="23"/>
        <v>6.31</v>
      </c>
      <c r="O87" s="36">
        <f t="shared" si="23"/>
        <v>100000</v>
      </c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5"/>
      <c r="AD87" s="5"/>
      <c r="AE87" s="5"/>
      <c r="AF87" s="5"/>
      <c r="AG87" s="5"/>
    </row>
    <row r="88" spans="1:101" ht="21.95" hidden="1" customHeight="1" outlineLevel="1" x14ac:dyDescent="0.35">
      <c r="A88" s="19" t="s">
        <v>47</v>
      </c>
      <c r="B88" s="19"/>
      <c r="C88" s="132">
        <f>SUM(D88:O88)</f>
        <v>102862.92</v>
      </c>
      <c r="D88" s="27">
        <v>276.13</v>
      </c>
      <c r="E88" s="28">
        <v>0</v>
      </c>
      <c r="F88" s="28">
        <v>0</v>
      </c>
      <c r="G88" s="28">
        <v>2577.54</v>
      </c>
      <c r="H88" s="28">
        <v>2.94</v>
      </c>
      <c r="I88" s="28">
        <v>0</v>
      </c>
      <c r="J88" s="28">
        <v>0</v>
      </c>
      <c r="K88" s="28">
        <v>0</v>
      </c>
      <c r="L88" s="28">
        <v>0</v>
      </c>
      <c r="M88" s="28">
        <v>0</v>
      </c>
      <c r="N88" s="28">
        <v>6.31</v>
      </c>
      <c r="O88" s="28">
        <v>100000</v>
      </c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4"/>
      <c r="AD88" s="4"/>
      <c r="AE88" s="4"/>
      <c r="AF88" s="4"/>
      <c r="AG88" s="4"/>
    </row>
    <row r="89" spans="1:101" ht="21" hidden="1" outlineLevel="1" x14ac:dyDescent="0.35">
      <c r="A89" s="19" t="s">
        <v>46</v>
      </c>
      <c r="B89" s="19"/>
      <c r="C89" s="132">
        <f>SUM(D89:O89)</f>
        <v>36.07</v>
      </c>
      <c r="D89" s="27">
        <v>0</v>
      </c>
      <c r="E89" s="28">
        <v>0</v>
      </c>
      <c r="F89" s="28">
        <v>0</v>
      </c>
      <c r="G89" s="28">
        <v>0</v>
      </c>
      <c r="H89" s="28">
        <v>0</v>
      </c>
      <c r="I89" s="28">
        <v>24.41</v>
      </c>
      <c r="J89" s="28">
        <v>0</v>
      </c>
      <c r="K89" s="28">
        <v>11.66</v>
      </c>
      <c r="L89" s="28">
        <v>0</v>
      </c>
      <c r="M89" s="28">
        <v>0</v>
      </c>
      <c r="N89" s="28">
        <v>0</v>
      </c>
      <c r="O89" s="28">
        <v>0</v>
      </c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4"/>
      <c r="AD89" s="4"/>
      <c r="AE89" s="4"/>
      <c r="AF89" s="4"/>
      <c r="AG89" s="4"/>
    </row>
    <row r="90" spans="1:101" ht="21.75" hidden="1" outlineLevel="1" thickBot="1" x14ac:dyDescent="0.4">
      <c r="A90" s="19" t="s">
        <v>36</v>
      </c>
      <c r="B90" s="19"/>
      <c r="C90" s="132">
        <f>SUM(D90:O90)</f>
        <v>0</v>
      </c>
      <c r="D90" s="27">
        <v>0</v>
      </c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4"/>
      <c r="AD90" s="4"/>
      <c r="AE90" s="4"/>
      <c r="AF90" s="4"/>
      <c r="AG90" s="4"/>
    </row>
    <row r="91" spans="1:101" s="8" customFormat="1" ht="26.1" customHeight="1" collapsed="1" thickBot="1" x14ac:dyDescent="0.4">
      <c r="A91" s="34" t="s">
        <v>4</v>
      </c>
      <c r="B91" s="57"/>
      <c r="C91" s="133">
        <f>SUM(C92:C95)</f>
        <v>180</v>
      </c>
      <c r="D91" s="36">
        <f t="shared" ref="D91:H91" si="24">SUM(D92:D95)</f>
        <v>15</v>
      </c>
      <c r="E91" s="36">
        <f t="shared" si="24"/>
        <v>15</v>
      </c>
      <c r="F91" s="36">
        <f t="shared" si="24"/>
        <v>15</v>
      </c>
      <c r="G91" s="36">
        <f t="shared" si="24"/>
        <v>15</v>
      </c>
      <c r="H91" s="36">
        <f t="shared" si="24"/>
        <v>15</v>
      </c>
      <c r="I91" s="36">
        <f>SUM(I92:I95)</f>
        <v>15</v>
      </c>
      <c r="J91" s="36">
        <f t="shared" ref="J91:O91" si="25">SUM(J92:J95)</f>
        <v>15</v>
      </c>
      <c r="K91" s="36">
        <f t="shared" si="25"/>
        <v>15</v>
      </c>
      <c r="L91" s="36">
        <f t="shared" si="25"/>
        <v>15</v>
      </c>
      <c r="M91" s="36">
        <f t="shared" si="25"/>
        <v>15</v>
      </c>
      <c r="N91" s="36">
        <f t="shared" si="25"/>
        <v>15</v>
      </c>
      <c r="O91" s="36">
        <f t="shared" si="25"/>
        <v>15</v>
      </c>
      <c r="P91" s="123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4"/>
      <c r="AD91" s="4"/>
      <c r="AE91" s="4"/>
      <c r="AF91" s="4"/>
      <c r="AG91" s="4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</row>
    <row r="92" spans="1:101" ht="18.95" hidden="1" customHeight="1" outlineLevel="1" x14ac:dyDescent="0.35">
      <c r="A92" s="58" t="s">
        <v>48</v>
      </c>
      <c r="B92" s="33"/>
      <c r="C92" s="132">
        <f t="shared" ref="C92:C95" si="26">SUM(D92:O92)</f>
        <v>0</v>
      </c>
      <c r="D92" s="25"/>
      <c r="E92" s="26"/>
      <c r="F92" s="26"/>
      <c r="G92" s="28"/>
      <c r="H92" s="28"/>
      <c r="I92" s="28"/>
      <c r="J92" s="28"/>
      <c r="K92" s="28"/>
      <c r="L92" s="28"/>
      <c r="M92" s="26"/>
      <c r="N92" s="26"/>
      <c r="O92" s="26"/>
      <c r="P92" s="123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4"/>
      <c r="AD92" s="4"/>
      <c r="AE92" s="4"/>
      <c r="AF92" s="4"/>
      <c r="AG92" s="4"/>
    </row>
    <row r="93" spans="1:101" ht="23.1" hidden="1" customHeight="1" outlineLevel="1" x14ac:dyDescent="0.35">
      <c r="A93" s="33" t="s">
        <v>105</v>
      </c>
      <c r="B93" s="19"/>
      <c r="C93" s="131">
        <f t="shared" si="26"/>
        <v>0</v>
      </c>
      <c r="D93" s="27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123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4"/>
      <c r="AD93" s="4"/>
      <c r="AE93" s="4"/>
      <c r="AF93" s="4"/>
      <c r="AG93" s="4"/>
    </row>
    <row r="94" spans="1:101" ht="23.1" hidden="1" customHeight="1" outlineLevel="1" x14ac:dyDescent="0.35">
      <c r="A94" s="33" t="s">
        <v>45</v>
      </c>
      <c r="B94" s="19"/>
      <c r="C94" s="131">
        <f t="shared" si="26"/>
        <v>0</v>
      </c>
      <c r="D94" s="27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>
        <v>0</v>
      </c>
      <c r="P94" s="123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4"/>
      <c r="AD94" s="4"/>
      <c r="AE94" s="4"/>
      <c r="AF94" s="4"/>
      <c r="AG94" s="4"/>
    </row>
    <row r="95" spans="1:101" ht="21.75" hidden="1" customHeight="1" outlineLevel="1" thickBot="1" x14ac:dyDescent="0.4">
      <c r="A95" s="19" t="s">
        <v>35</v>
      </c>
      <c r="B95" s="19"/>
      <c r="C95" s="132">
        <f t="shared" si="26"/>
        <v>180</v>
      </c>
      <c r="D95" s="27">
        <v>15</v>
      </c>
      <c r="E95" s="28">
        <v>15</v>
      </c>
      <c r="F95" s="28">
        <v>15</v>
      </c>
      <c r="G95" s="28">
        <v>15</v>
      </c>
      <c r="H95" s="28">
        <v>15</v>
      </c>
      <c r="I95" s="28">
        <v>15</v>
      </c>
      <c r="J95" s="28">
        <v>15</v>
      </c>
      <c r="K95" s="28">
        <v>15</v>
      </c>
      <c r="L95" s="28">
        <v>15</v>
      </c>
      <c r="M95" s="28">
        <v>15</v>
      </c>
      <c r="N95" s="28">
        <v>15</v>
      </c>
      <c r="O95" s="28">
        <v>15</v>
      </c>
      <c r="P95" s="123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4"/>
      <c r="AD95" s="4"/>
      <c r="AE95" s="4"/>
      <c r="AF95" s="4"/>
      <c r="AG95" s="4"/>
    </row>
    <row r="96" spans="1:101" s="8" customFormat="1" ht="21.75" collapsed="1" thickBot="1" x14ac:dyDescent="0.4">
      <c r="A96" s="59" t="s">
        <v>17</v>
      </c>
      <c r="B96" s="60"/>
      <c r="C96" s="137">
        <f>C87-C91</f>
        <v>102718.99</v>
      </c>
      <c r="D96" s="61">
        <f t="shared" ref="D96:O96" si="27">D87-D91</f>
        <v>261.13</v>
      </c>
      <c r="E96" s="62">
        <f t="shared" si="27"/>
        <v>-15</v>
      </c>
      <c r="F96" s="62">
        <f t="shared" si="27"/>
        <v>-15</v>
      </c>
      <c r="G96" s="62">
        <f t="shared" si="27"/>
        <v>2562.54</v>
      </c>
      <c r="H96" s="62">
        <f t="shared" si="27"/>
        <v>-12.06</v>
      </c>
      <c r="I96" s="62">
        <f t="shared" si="27"/>
        <v>9.41</v>
      </c>
      <c r="J96" s="62">
        <f t="shared" si="27"/>
        <v>-15</v>
      </c>
      <c r="K96" s="62">
        <f t="shared" si="27"/>
        <v>-3.34</v>
      </c>
      <c r="L96" s="62">
        <f t="shared" si="27"/>
        <v>-15</v>
      </c>
      <c r="M96" s="62">
        <f t="shared" si="27"/>
        <v>-15</v>
      </c>
      <c r="N96" s="62">
        <f t="shared" si="27"/>
        <v>-8.6900000000000013</v>
      </c>
      <c r="O96" s="62">
        <f t="shared" si="27"/>
        <v>99985</v>
      </c>
      <c r="P96" s="3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4"/>
      <c r="AD96" s="4"/>
      <c r="AE96" s="4"/>
      <c r="AF96" s="4"/>
      <c r="AG96" s="4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</row>
    <row r="97" spans="1:296" s="8" customFormat="1" ht="18.95" customHeight="1" thickBot="1" x14ac:dyDescent="0.4">
      <c r="A97" s="10"/>
      <c r="B97" s="10"/>
      <c r="C97" s="127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4"/>
      <c r="AD97" s="4"/>
      <c r="AE97" s="4"/>
      <c r="AF97" s="4"/>
      <c r="AG97" s="4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</row>
    <row r="98" spans="1:296" s="9" customFormat="1" ht="21" customHeight="1" thickBot="1" x14ac:dyDescent="0.4">
      <c r="A98" s="63" t="s">
        <v>83</v>
      </c>
      <c r="B98" s="64"/>
      <c r="C98" s="138">
        <f t="shared" ref="C98:O98" si="28">C86+C96</f>
        <v>-36674.937159999958</v>
      </c>
      <c r="D98" s="65">
        <f t="shared" si="28"/>
        <v>-98504.557932600001</v>
      </c>
      <c r="E98" s="65">
        <f t="shared" si="28"/>
        <v>-46232.317635599997</v>
      </c>
      <c r="F98" s="65">
        <f t="shared" si="28"/>
        <v>-43992.918949999992</v>
      </c>
      <c r="G98" s="65">
        <f t="shared" si="28"/>
        <v>-50355.986629999992</v>
      </c>
      <c r="H98" s="65">
        <f t="shared" si="28"/>
        <v>-58247.461599999995</v>
      </c>
      <c r="I98" s="65">
        <f t="shared" si="28"/>
        <v>-64366.428669999994</v>
      </c>
      <c r="J98" s="65">
        <f t="shared" si="28"/>
        <v>-40938.4799432</v>
      </c>
      <c r="K98" s="65">
        <f t="shared" si="28"/>
        <v>-39793.272929999992</v>
      </c>
      <c r="L98" s="65">
        <f t="shared" si="28"/>
        <v>-35621.471674399974</v>
      </c>
      <c r="M98" s="65">
        <f t="shared" si="28"/>
        <v>-137522.16599999997</v>
      </c>
      <c r="N98" s="65">
        <f t="shared" si="28"/>
        <v>-127934.37520000001</v>
      </c>
      <c r="O98" s="65">
        <f t="shared" si="28"/>
        <v>706834.50000579993</v>
      </c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5"/>
      <c r="AD98" s="5"/>
      <c r="AE98" s="5"/>
      <c r="AF98" s="5"/>
      <c r="AG98" s="5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</row>
    <row r="99" spans="1:296" ht="0.95" customHeight="1" x14ac:dyDescent="0.35">
      <c r="A99" s="19"/>
      <c r="B99" s="19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4"/>
      <c r="AD99" s="4"/>
      <c r="AE99" s="4"/>
      <c r="AF99" s="4"/>
      <c r="AG99" s="4"/>
    </row>
    <row r="100" spans="1:296" ht="13.5" customHeight="1" x14ac:dyDescent="0.35">
      <c r="A100" s="19"/>
      <c r="B100" s="19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4"/>
      <c r="AD100" s="4"/>
      <c r="AE100" s="4"/>
      <c r="AF100" s="4"/>
      <c r="AG100" s="4"/>
    </row>
    <row r="101" spans="1:296" ht="13.5" customHeight="1" x14ac:dyDescent="0.35"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4"/>
      <c r="AD101" s="4"/>
      <c r="AE101" s="4"/>
      <c r="AF101" s="4"/>
      <c r="AG101" s="4"/>
    </row>
    <row r="102" spans="1:296" ht="23.1" customHeight="1" x14ac:dyDescent="0.35">
      <c r="A102" s="66" t="s">
        <v>129</v>
      </c>
      <c r="B102" s="66"/>
      <c r="C102" s="67"/>
      <c r="D102" s="66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4"/>
      <c r="AD102" s="4"/>
      <c r="AE102" s="4"/>
      <c r="AF102" s="4"/>
      <c r="AG102" s="4"/>
    </row>
    <row r="103" spans="1:296" ht="23.1" customHeight="1" thickBot="1" x14ac:dyDescent="0.4">
      <c r="C103" s="68" t="s">
        <v>69</v>
      </c>
      <c r="D103" s="69">
        <v>189475</v>
      </c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4"/>
      <c r="AD103" s="4"/>
      <c r="AE103" s="4"/>
      <c r="AF103" s="4"/>
      <c r="AG103" s="4"/>
    </row>
    <row r="104" spans="1:296" ht="24" customHeight="1" thickBot="1" x14ac:dyDescent="0.4">
      <c r="A104" s="70"/>
      <c r="B104" s="70"/>
      <c r="C104" s="71" t="s">
        <v>0</v>
      </c>
      <c r="D104" s="72" t="s">
        <v>5</v>
      </c>
      <c r="E104" s="72" t="s">
        <v>6</v>
      </c>
      <c r="F104" s="72" t="s">
        <v>7</v>
      </c>
      <c r="G104" s="72" t="s">
        <v>8</v>
      </c>
      <c r="H104" s="72" t="s">
        <v>9</v>
      </c>
      <c r="I104" s="72" t="s">
        <v>10</v>
      </c>
      <c r="J104" s="72" t="s">
        <v>11</v>
      </c>
      <c r="K104" s="72" t="s">
        <v>12</v>
      </c>
      <c r="L104" s="72" t="s">
        <v>13</v>
      </c>
      <c r="M104" s="72" t="s">
        <v>14</v>
      </c>
      <c r="N104" s="72" t="s">
        <v>15</v>
      </c>
      <c r="O104" s="72" t="s">
        <v>16</v>
      </c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4"/>
      <c r="AD104" s="4"/>
      <c r="AE104" s="4"/>
      <c r="AF104" s="4"/>
      <c r="AG104" s="4"/>
    </row>
    <row r="105" spans="1:296" ht="24" customHeight="1" thickBot="1" x14ac:dyDescent="0.4">
      <c r="A105" s="73" t="s">
        <v>70</v>
      </c>
      <c r="B105" s="74"/>
      <c r="C105" s="75">
        <f>SUM(D105:O105)</f>
        <v>380019.13797600003</v>
      </c>
      <c r="D105" s="75">
        <f>+D7+D8+D9+D10+D11+D12+D13+D14+D15+D16+D19</f>
        <v>0</v>
      </c>
      <c r="E105" s="75">
        <f t="shared" ref="E105:O105" si="29">+E7+E8+E9+E10+E11+E12+E13+E14+E15+E16+E19</f>
        <v>1615.76</v>
      </c>
      <c r="F105" s="75">
        <f t="shared" si="29"/>
        <v>189220.5</v>
      </c>
      <c r="G105" s="75">
        <f t="shared" si="29"/>
        <v>15125.37</v>
      </c>
      <c r="H105" s="75">
        <f t="shared" si="29"/>
        <v>0</v>
      </c>
      <c r="I105" s="75">
        <f t="shared" si="29"/>
        <v>0</v>
      </c>
      <c r="J105" s="75">
        <f t="shared" si="29"/>
        <v>15006.39</v>
      </c>
      <c r="K105" s="75">
        <f t="shared" si="29"/>
        <v>0</v>
      </c>
      <c r="L105" s="75">
        <f t="shared" si="29"/>
        <v>92317.867976000009</v>
      </c>
      <c r="M105" s="75">
        <f t="shared" si="29"/>
        <v>33428.47</v>
      </c>
      <c r="N105" s="75">
        <f t="shared" si="29"/>
        <v>16374.29</v>
      </c>
      <c r="O105" s="75">
        <f t="shared" si="29"/>
        <v>16930.490000000002</v>
      </c>
    </row>
    <row r="106" spans="1:296" s="8" customFormat="1" ht="20.100000000000001" customHeight="1" thickBot="1" x14ac:dyDescent="0.4">
      <c r="A106" s="76" t="s">
        <v>40</v>
      </c>
      <c r="B106" s="77"/>
      <c r="C106" s="75">
        <f>SUM(D106:O106)</f>
        <v>942932</v>
      </c>
      <c r="D106" s="78">
        <v>12932</v>
      </c>
      <c r="E106" s="78">
        <v>100000</v>
      </c>
      <c r="F106" s="78">
        <v>100000</v>
      </c>
      <c r="G106" s="78">
        <v>100000</v>
      </c>
      <c r="H106" s="78">
        <v>100000</v>
      </c>
      <c r="I106" s="78">
        <v>100000</v>
      </c>
      <c r="J106" s="78">
        <v>200000</v>
      </c>
      <c r="K106" s="78">
        <v>230000</v>
      </c>
      <c r="L106" s="78"/>
      <c r="M106" s="78"/>
      <c r="N106" s="78"/>
      <c r="O106" s="78"/>
      <c r="P106" s="16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</row>
    <row r="107" spans="1:296" ht="20.100000000000001" customHeight="1" thickBot="1" x14ac:dyDescent="0.4">
      <c r="A107" s="79" t="s">
        <v>79</v>
      </c>
      <c r="B107" s="80"/>
      <c r="C107" s="81">
        <f t="shared" ref="C107:O107" si="30">C22</f>
        <v>112347.59</v>
      </c>
      <c r="D107" s="82">
        <f t="shared" si="30"/>
        <v>11527.5</v>
      </c>
      <c r="E107" s="82">
        <f t="shared" si="30"/>
        <v>6450</v>
      </c>
      <c r="F107" s="82">
        <f t="shared" si="30"/>
        <v>29688.53</v>
      </c>
      <c r="G107" s="82">
        <f t="shared" si="30"/>
        <v>9481.75</v>
      </c>
      <c r="H107" s="82">
        <f t="shared" si="30"/>
        <v>10203.549999999999</v>
      </c>
      <c r="I107" s="82">
        <f t="shared" si="30"/>
        <v>-648.79999999999995</v>
      </c>
      <c r="J107" s="82">
        <f t="shared" si="30"/>
        <v>10828.51</v>
      </c>
      <c r="K107" s="82">
        <f t="shared" si="30"/>
        <v>0</v>
      </c>
      <c r="L107" s="82">
        <f t="shared" si="30"/>
        <v>0</v>
      </c>
      <c r="M107" s="82">
        <f t="shared" si="30"/>
        <v>5410.25</v>
      </c>
      <c r="N107" s="82">
        <f t="shared" si="30"/>
        <v>10999.5</v>
      </c>
      <c r="O107" s="82">
        <f t="shared" si="30"/>
        <v>18406.8</v>
      </c>
    </row>
    <row r="108" spans="1:296" ht="20.100000000000001" customHeight="1" thickBot="1" x14ac:dyDescent="0.4">
      <c r="A108" s="83" t="s">
        <v>2</v>
      </c>
      <c r="B108" s="84"/>
      <c r="C108" s="85">
        <f>SUM(C109:C118)</f>
        <v>898543.97513600008</v>
      </c>
      <c r="D108" s="85">
        <f>SUM(D109:D118)</f>
        <v>87238.187932600005</v>
      </c>
      <c r="E108" s="85">
        <f t="shared" ref="E108" si="31">SUM(E109:E118)</f>
        <v>41383.077635599999</v>
      </c>
      <c r="F108" s="85">
        <f>SUM(F109:F118)</f>
        <v>44638.388949999993</v>
      </c>
      <c r="G108" s="85">
        <f t="shared" ref="G108" si="32">SUM(G109:G118)</f>
        <v>58562.146630000003</v>
      </c>
      <c r="H108" s="85">
        <f>SUM(H109:H118)</f>
        <v>48031.851600000002</v>
      </c>
      <c r="I108" s="85">
        <f t="shared" ref="I108:J108" si="33">SUM(I109:I118)</f>
        <v>53324.63867</v>
      </c>
      <c r="J108" s="85">
        <f t="shared" si="33"/>
        <v>45101.359943199997</v>
      </c>
      <c r="K108" s="85">
        <f>SUM(K109:K118)</f>
        <v>39789.932929999995</v>
      </c>
      <c r="L108" s="85">
        <f t="shared" ref="L108:M108" si="34">SUM(L109:L118)</f>
        <v>116224.33965039998</v>
      </c>
      <c r="M108" s="85">
        <f t="shared" si="34"/>
        <v>165525.386</v>
      </c>
      <c r="N108" s="85">
        <f>SUM(N109:N118)</f>
        <v>133300.47519999999</v>
      </c>
      <c r="O108" s="85">
        <f t="shared" ref="O108" si="35">SUM(O109:O118)</f>
        <v>65424.189994199995</v>
      </c>
    </row>
    <row r="109" spans="1:296" s="8" customFormat="1" ht="18.95" customHeight="1" thickBot="1" x14ac:dyDescent="0.4">
      <c r="A109" s="86" t="s">
        <v>76</v>
      </c>
      <c r="B109" s="87"/>
      <c r="C109" s="88">
        <f>SUM(D109:O109)</f>
        <v>191920.30420000001</v>
      </c>
      <c r="D109" s="106">
        <f t="shared" ref="D109:O109" si="36">D30</f>
        <v>21728.764199999998</v>
      </c>
      <c r="E109" s="106">
        <f t="shared" si="36"/>
        <v>0</v>
      </c>
      <c r="F109" s="106">
        <f t="shared" si="36"/>
        <v>2576</v>
      </c>
      <c r="G109" s="106">
        <f t="shared" si="36"/>
        <v>11755.2</v>
      </c>
      <c r="H109" s="106">
        <f t="shared" si="36"/>
        <v>0</v>
      </c>
      <c r="I109" s="106">
        <f t="shared" si="36"/>
        <v>0</v>
      </c>
      <c r="J109" s="106">
        <f t="shared" si="36"/>
        <v>0</v>
      </c>
      <c r="K109" s="106">
        <f t="shared" si="36"/>
        <v>0</v>
      </c>
      <c r="L109" s="106">
        <f t="shared" si="36"/>
        <v>22774</v>
      </c>
      <c r="M109" s="106">
        <f t="shared" si="36"/>
        <v>65430.96</v>
      </c>
      <c r="N109" s="106">
        <f t="shared" si="36"/>
        <v>51197.88</v>
      </c>
      <c r="O109" s="106">
        <f t="shared" si="36"/>
        <v>16457.5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</row>
    <row r="110" spans="1:296" s="8" customFormat="1" ht="18.95" customHeight="1" thickBot="1" x14ac:dyDescent="0.4">
      <c r="A110" s="89" t="s">
        <v>68</v>
      </c>
      <c r="B110" s="90"/>
      <c r="C110" s="91">
        <f t="shared" ref="C110:O110" si="37">C37</f>
        <v>153311.20000000001</v>
      </c>
      <c r="D110" s="92">
        <f t="shared" si="37"/>
        <v>12377</v>
      </c>
      <c r="E110" s="92">
        <f t="shared" si="37"/>
        <v>12582.72</v>
      </c>
      <c r="F110" s="92">
        <f t="shared" si="37"/>
        <v>12377</v>
      </c>
      <c r="G110" s="92">
        <f t="shared" si="37"/>
        <v>14683.92</v>
      </c>
      <c r="H110" s="92">
        <f t="shared" si="37"/>
        <v>12377</v>
      </c>
      <c r="I110" s="92">
        <f t="shared" si="37"/>
        <v>12377</v>
      </c>
      <c r="J110" s="92">
        <f t="shared" si="37"/>
        <v>12582.72</v>
      </c>
      <c r="K110" s="92">
        <f t="shared" si="37"/>
        <v>12377</v>
      </c>
      <c r="L110" s="92">
        <f t="shared" si="37"/>
        <v>12519</v>
      </c>
      <c r="M110" s="92">
        <f t="shared" si="37"/>
        <v>13190.92</v>
      </c>
      <c r="N110" s="92">
        <f t="shared" si="37"/>
        <v>12377</v>
      </c>
      <c r="O110" s="92">
        <f t="shared" si="37"/>
        <v>13489.92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</row>
    <row r="111" spans="1:296" s="1" customFormat="1" ht="24" customHeight="1" x14ac:dyDescent="0.35">
      <c r="A111" s="93" t="s">
        <v>55</v>
      </c>
      <c r="B111" s="90"/>
      <c r="C111" s="91">
        <f t="shared" ref="C111:O112" si="38">C51</f>
        <v>31342.280130000003</v>
      </c>
      <c r="D111" s="92">
        <f t="shared" si="38"/>
        <v>1781.7855299999999</v>
      </c>
      <c r="E111" s="92">
        <f t="shared" si="38"/>
        <v>242.30892</v>
      </c>
      <c r="F111" s="92">
        <f t="shared" si="38"/>
        <v>4448.5830900000001</v>
      </c>
      <c r="G111" s="92">
        <f t="shared" si="38"/>
        <v>3382.9301099999998</v>
      </c>
      <c r="H111" s="92">
        <f t="shared" si="38"/>
        <v>2111.5697399999999</v>
      </c>
      <c r="I111" s="92">
        <f t="shared" si="38"/>
        <v>6258.2853899999991</v>
      </c>
      <c r="J111" s="92">
        <f t="shared" si="38"/>
        <v>2696.9060999999997</v>
      </c>
      <c r="K111" s="92">
        <f t="shared" si="38"/>
        <v>2128.6408499999998</v>
      </c>
      <c r="L111" s="92">
        <f t="shared" si="38"/>
        <v>3892.0175699999995</v>
      </c>
      <c r="M111" s="92">
        <f t="shared" si="38"/>
        <v>1944.0691200000001</v>
      </c>
      <c r="N111" s="92">
        <f t="shared" si="38"/>
        <v>1882.7407199999998</v>
      </c>
      <c r="O111" s="92">
        <f t="shared" si="38"/>
        <v>572.4429899999999</v>
      </c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</row>
    <row r="112" spans="1:296" s="1" customFormat="1" ht="21.95" customHeight="1" x14ac:dyDescent="0.35">
      <c r="A112" s="93" t="s">
        <v>56</v>
      </c>
      <c r="B112" s="90"/>
      <c r="C112" s="91">
        <f t="shared" si="38"/>
        <v>26025.894006000002</v>
      </c>
      <c r="D112" s="92">
        <f t="shared" si="38"/>
        <v>2268.1006026</v>
      </c>
      <c r="E112" s="92">
        <f t="shared" si="38"/>
        <v>1494.2895156</v>
      </c>
      <c r="F112" s="92">
        <f t="shared" si="38"/>
        <v>703.36265999999989</v>
      </c>
      <c r="G112" s="92">
        <f t="shared" si="38"/>
        <v>1682.4973199999997</v>
      </c>
      <c r="H112" s="92">
        <f t="shared" si="38"/>
        <v>1740.5946599999997</v>
      </c>
      <c r="I112" s="92">
        <f t="shared" si="38"/>
        <v>5919.9604799999997</v>
      </c>
      <c r="J112" s="92">
        <f t="shared" si="38"/>
        <v>3017.8314431999997</v>
      </c>
      <c r="K112" s="92">
        <f t="shared" si="38"/>
        <v>977.05608000000041</v>
      </c>
      <c r="L112" s="92">
        <f t="shared" si="38"/>
        <v>2269.0968803999999</v>
      </c>
      <c r="M112" s="92">
        <f t="shared" si="38"/>
        <v>1705.9996799999999</v>
      </c>
      <c r="N112" s="92">
        <f t="shared" si="38"/>
        <v>1101.77088</v>
      </c>
      <c r="O112" s="92">
        <f t="shared" si="38"/>
        <v>3145.3338042</v>
      </c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</row>
    <row r="113" spans="1:101" s="1" customFormat="1" ht="18" customHeight="1" x14ac:dyDescent="0.35">
      <c r="A113" s="93" t="s">
        <v>57</v>
      </c>
      <c r="B113" s="90"/>
      <c r="C113" s="91">
        <f t="shared" ref="C113:O115" si="39">C61</f>
        <v>25196.19</v>
      </c>
      <c r="D113" s="92">
        <f t="shared" si="39"/>
        <v>4954.6099999999997</v>
      </c>
      <c r="E113" s="92">
        <f t="shared" si="39"/>
        <v>2683.5</v>
      </c>
      <c r="F113" s="92">
        <f t="shared" si="39"/>
        <v>882.17</v>
      </c>
      <c r="G113" s="92">
        <f t="shared" si="39"/>
        <v>0</v>
      </c>
      <c r="H113" s="92">
        <f t="shared" si="39"/>
        <v>8962.84</v>
      </c>
      <c r="I113" s="92">
        <f t="shared" si="39"/>
        <v>717.69</v>
      </c>
      <c r="J113" s="92">
        <f t="shared" si="39"/>
        <v>218.84</v>
      </c>
      <c r="K113" s="92">
        <f t="shared" si="39"/>
        <v>0</v>
      </c>
      <c r="L113" s="92">
        <f t="shared" si="39"/>
        <v>0</v>
      </c>
      <c r="M113" s="92">
        <f t="shared" si="39"/>
        <v>36</v>
      </c>
      <c r="N113" s="92">
        <f t="shared" si="39"/>
        <v>6286.02</v>
      </c>
      <c r="O113" s="92">
        <f t="shared" si="39"/>
        <v>454.52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</row>
    <row r="114" spans="1:101" s="1" customFormat="1" ht="18.95" customHeight="1" x14ac:dyDescent="0.35">
      <c r="A114" s="93" t="s">
        <v>58</v>
      </c>
      <c r="B114" s="90"/>
      <c r="C114" s="91">
        <f t="shared" si="39"/>
        <v>136.12</v>
      </c>
      <c r="D114" s="92">
        <f t="shared" si="39"/>
        <v>24.3</v>
      </c>
      <c r="E114" s="92">
        <f t="shared" si="39"/>
        <v>0</v>
      </c>
      <c r="F114" s="92">
        <f t="shared" si="39"/>
        <v>31</v>
      </c>
      <c r="G114" s="92">
        <f t="shared" si="39"/>
        <v>3</v>
      </c>
      <c r="H114" s="92">
        <f t="shared" si="39"/>
        <v>0.94</v>
      </c>
      <c r="I114" s="92">
        <f t="shared" si="39"/>
        <v>25</v>
      </c>
      <c r="J114" s="92">
        <f t="shared" si="39"/>
        <v>0</v>
      </c>
      <c r="K114" s="92">
        <f t="shared" si="39"/>
        <v>0.94</v>
      </c>
      <c r="L114" s="92">
        <f t="shared" si="39"/>
        <v>25</v>
      </c>
      <c r="M114" s="92">
        <f t="shared" si="39"/>
        <v>0</v>
      </c>
      <c r="N114" s="92">
        <f t="shared" si="39"/>
        <v>0.94</v>
      </c>
      <c r="O114" s="92">
        <f t="shared" si="39"/>
        <v>25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</row>
    <row r="115" spans="1:101" s="1" customFormat="1" ht="21.95" customHeight="1" x14ac:dyDescent="0.35">
      <c r="A115" s="93" t="s">
        <v>59</v>
      </c>
      <c r="B115" s="90"/>
      <c r="C115" s="91">
        <f t="shared" si="39"/>
        <v>59285.12000000001</v>
      </c>
      <c r="D115" s="92">
        <f t="shared" si="39"/>
        <v>19803.420000000006</v>
      </c>
      <c r="E115" s="92">
        <f t="shared" si="39"/>
        <v>1930.5199999999998</v>
      </c>
      <c r="F115" s="92">
        <f t="shared" si="39"/>
        <v>1495.35</v>
      </c>
      <c r="G115" s="92">
        <f t="shared" si="39"/>
        <v>3683.26</v>
      </c>
      <c r="H115" s="92">
        <f t="shared" si="39"/>
        <v>1394.81</v>
      </c>
      <c r="I115" s="92">
        <f t="shared" si="39"/>
        <v>3943.48</v>
      </c>
      <c r="J115" s="92">
        <f t="shared" si="39"/>
        <v>4311.5499999999993</v>
      </c>
      <c r="K115" s="92">
        <f t="shared" si="39"/>
        <v>2975.74</v>
      </c>
      <c r="L115" s="92">
        <f t="shared" si="39"/>
        <v>6132.18</v>
      </c>
      <c r="M115" s="92">
        <f t="shared" si="39"/>
        <v>3671.7799999999997</v>
      </c>
      <c r="N115" s="92">
        <f t="shared" si="39"/>
        <v>4167.42</v>
      </c>
      <c r="O115" s="92">
        <f t="shared" si="39"/>
        <v>5775.61</v>
      </c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</row>
    <row r="116" spans="1:101" s="1" customFormat="1" ht="18" customHeight="1" x14ac:dyDescent="0.35">
      <c r="A116" s="93" t="s">
        <v>60</v>
      </c>
      <c r="B116" s="90"/>
      <c r="C116" s="91">
        <f t="shared" ref="C116:O116" si="40">C69</f>
        <v>8385.4399999999987</v>
      </c>
      <c r="D116" s="92">
        <f t="shared" si="40"/>
        <v>943.5</v>
      </c>
      <c r="E116" s="92">
        <f t="shared" si="40"/>
        <v>304.23</v>
      </c>
      <c r="F116" s="92">
        <f t="shared" si="40"/>
        <v>194.25</v>
      </c>
      <c r="G116" s="92">
        <f t="shared" si="40"/>
        <v>508.01</v>
      </c>
      <c r="H116" s="92">
        <f t="shared" si="40"/>
        <v>535.5</v>
      </c>
      <c r="I116" s="92">
        <f t="shared" si="40"/>
        <v>536.46</v>
      </c>
      <c r="J116" s="92">
        <f t="shared" si="40"/>
        <v>1341.92</v>
      </c>
      <c r="K116" s="92">
        <f t="shared" si="40"/>
        <v>378.82</v>
      </c>
      <c r="L116" s="92">
        <f t="shared" si="40"/>
        <v>353.19</v>
      </c>
      <c r="M116" s="92">
        <f t="shared" si="40"/>
        <v>291.55</v>
      </c>
      <c r="N116" s="92">
        <f t="shared" si="40"/>
        <v>1508.76</v>
      </c>
      <c r="O116" s="92">
        <f t="shared" si="40"/>
        <v>1489.25</v>
      </c>
      <c r="P116" s="70"/>
      <c r="Q116" s="70"/>
      <c r="R116" s="70"/>
      <c r="S116" s="70"/>
      <c r="T116" s="70"/>
      <c r="U116" s="70"/>
      <c r="V116" s="70"/>
      <c r="W116" s="70"/>
      <c r="X116" s="126"/>
      <c r="Y116" s="126"/>
      <c r="Z116" s="126"/>
      <c r="AA116" s="126"/>
      <c r="AB116" s="126"/>
    </row>
    <row r="117" spans="1:101" s="1" customFormat="1" ht="15.95" customHeight="1" x14ac:dyDescent="0.35">
      <c r="A117" s="93" t="s">
        <v>61</v>
      </c>
      <c r="B117" s="90"/>
      <c r="C117" s="91">
        <f t="shared" ref="C117:O118" si="41">C77</f>
        <v>10825.150000000001</v>
      </c>
      <c r="D117" s="92">
        <f t="shared" si="41"/>
        <v>0</v>
      </c>
      <c r="E117" s="92">
        <f t="shared" si="41"/>
        <v>4.18</v>
      </c>
      <c r="F117" s="92">
        <f t="shared" si="41"/>
        <v>0</v>
      </c>
      <c r="G117" s="92">
        <f t="shared" si="41"/>
        <v>507.4</v>
      </c>
      <c r="H117" s="92">
        <f t="shared" si="41"/>
        <v>0</v>
      </c>
      <c r="I117" s="92">
        <f t="shared" si="41"/>
        <v>1266.8599999999999</v>
      </c>
      <c r="J117" s="92">
        <f t="shared" si="41"/>
        <v>4.18</v>
      </c>
      <c r="K117" s="92">
        <f t="shared" si="41"/>
        <v>12.48</v>
      </c>
      <c r="L117" s="92">
        <f t="shared" si="41"/>
        <v>0</v>
      </c>
      <c r="M117" s="92">
        <f t="shared" si="41"/>
        <v>4.18</v>
      </c>
      <c r="N117" s="92">
        <f t="shared" si="41"/>
        <v>9025.8700000000008</v>
      </c>
      <c r="O117" s="92">
        <f t="shared" si="41"/>
        <v>0</v>
      </c>
      <c r="P117" s="10"/>
      <c r="Q117" s="10"/>
      <c r="R117" s="10"/>
      <c r="S117" s="10"/>
      <c r="T117" s="10"/>
      <c r="U117" s="10"/>
      <c r="V117" s="70"/>
      <c r="W117" s="70"/>
      <c r="X117" s="126"/>
      <c r="Y117" s="126"/>
      <c r="Z117" s="126"/>
      <c r="AA117" s="126"/>
      <c r="AB117" s="126"/>
    </row>
    <row r="118" spans="1:101" ht="17.100000000000001" customHeight="1" thickBot="1" x14ac:dyDescent="0.4">
      <c r="A118" s="76" t="s">
        <v>54</v>
      </c>
      <c r="B118" s="77"/>
      <c r="C118" s="94">
        <f t="shared" si="41"/>
        <v>392116.27679999999</v>
      </c>
      <c r="D118" s="78">
        <f t="shared" si="41"/>
        <v>23356.707600000002</v>
      </c>
      <c r="E118" s="78">
        <f t="shared" si="41"/>
        <v>22141.3292</v>
      </c>
      <c r="F118" s="78">
        <f t="shared" si="41"/>
        <v>21930.673200000001</v>
      </c>
      <c r="G118" s="78">
        <f t="shared" si="41"/>
        <v>22355.929199999999</v>
      </c>
      <c r="H118" s="78">
        <f t="shared" si="41"/>
        <v>20908.597200000004</v>
      </c>
      <c r="I118" s="78">
        <f t="shared" si="41"/>
        <v>22279.9028</v>
      </c>
      <c r="J118" s="78">
        <f t="shared" si="41"/>
        <v>20927.412400000001</v>
      </c>
      <c r="K118" s="78">
        <f t="shared" si="41"/>
        <v>20939.256000000001</v>
      </c>
      <c r="L118" s="78">
        <f t="shared" si="41"/>
        <v>68259.855199999991</v>
      </c>
      <c r="M118" s="78">
        <f t="shared" si="41"/>
        <v>79249.927199999991</v>
      </c>
      <c r="N118" s="78">
        <f t="shared" si="41"/>
        <v>45752.073600000003</v>
      </c>
      <c r="O118" s="78">
        <f t="shared" si="41"/>
        <v>24014.6132</v>
      </c>
      <c r="V118" s="90"/>
      <c r="W118" s="90"/>
    </row>
    <row r="119" spans="1:101" ht="18.95" customHeight="1" thickBot="1" x14ac:dyDescent="0.4">
      <c r="A119" s="95" t="s">
        <v>17</v>
      </c>
      <c r="B119" s="96"/>
      <c r="C119" s="97">
        <f>SUM(D119:O119)</f>
        <v>180</v>
      </c>
      <c r="D119" s="97">
        <f>+D91</f>
        <v>15</v>
      </c>
      <c r="E119" s="97">
        <f t="shared" ref="E119:O119" si="42">+E91</f>
        <v>15</v>
      </c>
      <c r="F119" s="97">
        <f t="shared" si="42"/>
        <v>15</v>
      </c>
      <c r="G119" s="97">
        <f t="shared" si="42"/>
        <v>15</v>
      </c>
      <c r="H119" s="97">
        <f t="shared" si="42"/>
        <v>15</v>
      </c>
      <c r="I119" s="97">
        <f t="shared" si="42"/>
        <v>15</v>
      </c>
      <c r="J119" s="97">
        <f t="shared" si="42"/>
        <v>15</v>
      </c>
      <c r="K119" s="97">
        <f t="shared" si="42"/>
        <v>15</v>
      </c>
      <c r="L119" s="97">
        <f t="shared" si="42"/>
        <v>15</v>
      </c>
      <c r="M119" s="97">
        <f t="shared" si="42"/>
        <v>15</v>
      </c>
      <c r="N119" s="97">
        <f t="shared" si="42"/>
        <v>15</v>
      </c>
      <c r="O119" s="98">
        <f t="shared" si="42"/>
        <v>15</v>
      </c>
      <c r="P119" s="160"/>
      <c r="V119" s="90"/>
      <c r="W119" s="90"/>
    </row>
    <row r="120" spans="1:101" ht="18.95" customHeight="1" x14ac:dyDescent="0.35">
      <c r="A120" s="33" t="s">
        <v>78</v>
      </c>
      <c r="C120" s="99">
        <f>SUM(D120:O120)</f>
        <v>28082</v>
      </c>
      <c r="D120" s="92">
        <f>5951+7524+7932</f>
        <v>21407</v>
      </c>
      <c r="E120" s="92">
        <v>6675</v>
      </c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160"/>
      <c r="Q120" s="160"/>
    </row>
    <row r="121" spans="1:101" ht="18.95" customHeight="1" x14ac:dyDescent="0.35">
      <c r="A121" s="33" t="s">
        <v>95</v>
      </c>
      <c r="C121" s="99">
        <f>SUM(D121:O121)</f>
        <v>0</v>
      </c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</row>
    <row r="122" spans="1:101" ht="21.95" customHeight="1" thickBot="1" x14ac:dyDescent="0.4">
      <c r="A122" s="100" t="s">
        <v>67</v>
      </c>
      <c r="B122" s="101"/>
      <c r="C122" s="82">
        <f>SUM(D122:O122)</f>
        <v>19518.16</v>
      </c>
      <c r="D122" s="82">
        <v>0</v>
      </c>
      <c r="E122" s="82">
        <v>0</v>
      </c>
      <c r="F122" s="82">
        <v>0</v>
      </c>
      <c r="G122" s="82">
        <v>0</v>
      </c>
      <c r="H122" s="82">
        <v>0</v>
      </c>
      <c r="I122" s="82">
        <v>9759.08</v>
      </c>
      <c r="J122" s="82">
        <v>0</v>
      </c>
      <c r="K122" s="82">
        <v>0</v>
      </c>
      <c r="L122" s="82">
        <v>0</v>
      </c>
      <c r="M122" s="82">
        <v>0</v>
      </c>
      <c r="N122" s="82">
        <v>0</v>
      </c>
      <c r="O122" s="82">
        <v>9759.08</v>
      </c>
    </row>
    <row r="123" spans="1:101" ht="18.95" customHeight="1" thickBot="1" x14ac:dyDescent="0.4">
      <c r="A123" s="102" t="s">
        <v>66</v>
      </c>
      <c r="B123" s="84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</row>
    <row r="124" spans="1:101" ht="27" customHeight="1" thickBot="1" x14ac:dyDescent="0.4">
      <c r="A124" s="104" t="s">
        <v>2</v>
      </c>
      <c r="B124" s="105"/>
      <c r="C124" s="106">
        <f t="shared" ref="C124:O124" si="43">C108</f>
        <v>898543.97513600008</v>
      </c>
      <c r="D124" s="106">
        <f t="shared" si="43"/>
        <v>87238.187932600005</v>
      </c>
      <c r="E124" s="106">
        <f t="shared" si="43"/>
        <v>41383.077635599999</v>
      </c>
      <c r="F124" s="106">
        <f t="shared" si="43"/>
        <v>44638.388949999993</v>
      </c>
      <c r="G124" s="106">
        <f t="shared" si="43"/>
        <v>58562.146630000003</v>
      </c>
      <c r="H124" s="106">
        <f t="shared" si="43"/>
        <v>48031.851600000002</v>
      </c>
      <c r="I124" s="106">
        <f t="shared" si="43"/>
        <v>53324.63867</v>
      </c>
      <c r="J124" s="106">
        <f t="shared" si="43"/>
        <v>45101.359943199997</v>
      </c>
      <c r="K124" s="106">
        <f t="shared" si="43"/>
        <v>39789.932929999995</v>
      </c>
      <c r="L124" s="106">
        <f t="shared" si="43"/>
        <v>116224.33965039998</v>
      </c>
      <c r="M124" s="106">
        <f t="shared" si="43"/>
        <v>165525.386</v>
      </c>
      <c r="N124" s="106">
        <f t="shared" si="43"/>
        <v>133300.47519999999</v>
      </c>
      <c r="O124" s="106">
        <f t="shared" si="43"/>
        <v>65424.189994199995</v>
      </c>
    </row>
    <row r="125" spans="1:101" ht="27" customHeight="1" thickBot="1" x14ac:dyDescent="0.4">
      <c r="A125" s="63" t="s">
        <v>62</v>
      </c>
      <c r="B125" s="107"/>
      <c r="C125" s="108">
        <f t="shared" ref="C125:O125" si="44">C107+C124</f>
        <v>1010891.565136</v>
      </c>
      <c r="D125" s="108">
        <f t="shared" si="44"/>
        <v>98765.687932600005</v>
      </c>
      <c r="E125" s="108">
        <f t="shared" si="44"/>
        <v>47833.077635599999</v>
      </c>
      <c r="F125" s="108">
        <f t="shared" si="44"/>
        <v>74326.918949999992</v>
      </c>
      <c r="G125" s="108">
        <f t="shared" si="44"/>
        <v>68043.896630000003</v>
      </c>
      <c r="H125" s="108">
        <f t="shared" si="44"/>
        <v>58235.401599999997</v>
      </c>
      <c r="I125" s="108">
        <f t="shared" si="44"/>
        <v>52675.838669999997</v>
      </c>
      <c r="J125" s="108">
        <f t="shared" si="44"/>
        <v>55929.869943199999</v>
      </c>
      <c r="K125" s="108">
        <f t="shared" si="44"/>
        <v>39789.932929999995</v>
      </c>
      <c r="L125" s="108">
        <f t="shared" si="44"/>
        <v>116224.33965039998</v>
      </c>
      <c r="M125" s="108">
        <f t="shared" si="44"/>
        <v>170935.636</v>
      </c>
      <c r="N125" s="108">
        <f t="shared" si="44"/>
        <v>144299.97519999999</v>
      </c>
      <c r="O125" s="108">
        <f t="shared" si="44"/>
        <v>83830.98999419999</v>
      </c>
      <c r="P125" s="90"/>
      <c r="Q125" s="90"/>
      <c r="R125" s="90"/>
      <c r="S125" s="90"/>
      <c r="T125" s="90"/>
      <c r="U125" s="90"/>
      <c r="V125" s="90"/>
      <c r="W125" s="90"/>
    </row>
    <row r="126" spans="1:101" ht="17.100000000000001" customHeight="1" x14ac:dyDescent="0.35">
      <c r="A126" s="104"/>
      <c r="B126" s="109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90"/>
      <c r="Q126" s="90"/>
      <c r="R126" s="90"/>
      <c r="S126" s="90"/>
      <c r="T126" s="90"/>
      <c r="U126" s="90"/>
      <c r="V126" s="90"/>
      <c r="W126" s="90"/>
    </row>
    <row r="127" spans="1:101" ht="20.100000000000001" customHeight="1" x14ac:dyDescent="0.35">
      <c r="A127" s="89"/>
      <c r="B127" s="128"/>
      <c r="C127" s="110">
        <f>SUM(D127:O127)</f>
        <v>0</v>
      </c>
      <c r="D127" s="110"/>
      <c r="E127" s="111"/>
      <c r="F127" s="111"/>
      <c r="G127" s="111"/>
      <c r="H127" s="92"/>
      <c r="I127" s="92"/>
      <c r="J127" s="92"/>
      <c r="K127" s="92"/>
      <c r="L127" s="111"/>
      <c r="M127" s="111"/>
      <c r="N127" s="111"/>
      <c r="O127" s="111"/>
      <c r="P127" s="90"/>
      <c r="Q127" s="90"/>
      <c r="R127" s="90"/>
      <c r="S127" s="90"/>
      <c r="T127" s="90"/>
      <c r="U127" s="90"/>
      <c r="V127" s="90"/>
      <c r="W127" s="90"/>
    </row>
    <row r="128" spans="1:101" ht="23.1" customHeight="1" x14ac:dyDescent="0.35">
      <c r="A128" s="89" t="s">
        <v>124</v>
      </c>
      <c r="B128" s="128"/>
      <c r="C128" s="110">
        <f t="shared" ref="C128:C129" si="45">SUM(D128:O128)</f>
        <v>41660</v>
      </c>
      <c r="D128" s="110">
        <v>4166</v>
      </c>
      <c r="E128" s="110">
        <v>4166</v>
      </c>
      <c r="F128" s="110">
        <v>4166</v>
      </c>
      <c r="G128" s="110">
        <v>4166</v>
      </c>
      <c r="H128" s="110">
        <v>4166</v>
      </c>
      <c r="I128" s="110">
        <v>4166</v>
      </c>
      <c r="J128" s="110">
        <v>4166</v>
      </c>
      <c r="K128" s="110">
        <v>4166</v>
      </c>
      <c r="L128" s="110">
        <v>4166</v>
      </c>
      <c r="M128" s="110">
        <v>4166</v>
      </c>
      <c r="N128" s="111"/>
      <c r="O128" s="111"/>
      <c r="P128" s="90"/>
      <c r="Q128" s="90"/>
      <c r="R128" s="90"/>
      <c r="S128" s="90"/>
      <c r="T128" s="90"/>
      <c r="U128" s="90"/>
      <c r="V128" s="90"/>
      <c r="W128" s="90"/>
    </row>
    <row r="129" spans="1:23" ht="21.95" customHeight="1" thickBot="1" x14ac:dyDescent="0.4">
      <c r="A129" s="76" t="s">
        <v>65</v>
      </c>
      <c r="B129" s="112"/>
      <c r="C129" s="78">
        <f t="shared" si="45"/>
        <v>11976.75</v>
      </c>
      <c r="D129" s="78"/>
      <c r="E129" s="78"/>
      <c r="F129" s="78"/>
      <c r="G129" s="78"/>
      <c r="H129" s="78"/>
      <c r="I129" s="78">
        <f>47907*0.25</f>
        <v>11976.75</v>
      </c>
      <c r="J129" s="78"/>
      <c r="K129" s="78"/>
      <c r="L129" s="78"/>
      <c r="M129" s="78"/>
      <c r="N129" s="78"/>
      <c r="O129" s="78"/>
      <c r="P129" s="90"/>
      <c r="Q129" s="90"/>
      <c r="R129" s="90"/>
      <c r="S129" s="90"/>
      <c r="T129" s="90"/>
      <c r="U129" s="90"/>
      <c r="V129" s="90"/>
      <c r="W129" s="90"/>
    </row>
    <row r="130" spans="1:23" ht="21.95" customHeight="1" x14ac:dyDescent="0.35">
      <c r="A130" s="113"/>
      <c r="B130" s="109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90"/>
      <c r="Q130" s="90"/>
      <c r="R130" s="90"/>
      <c r="S130" s="90"/>
      <c r="T130" s="90"/>
      <c r="U130" s="90"/>
      <c r="V130" s="90"/>
      <c r="W130" s="90"/>
    </row>
    <row r="131" spans="1:23" ht="24.95" customHeight="1" thickBot="1" x14ac:dyDescent="0.4">
      <c r="A131" s="114" t="s">
        <v>63</v>
      </c>
      <c r="B131" s="115"/>
      <c r="C131" s="116">
        <f t="shared" ref="C131:N131" si="46">C105+C106+C119-C120-C122-C123-C125-C127-C128-C129-C121</f>
        <v>211002.66284000012</v>
      </c>
      <c r="D131" s="116">
        <f t="shared" si="46"/>
        <v>-111391.68793260001</v>
      </c>
      <c r="E131" s="116">
        <f t="shared" si="46"/>
        <v>42956.682364399996</v>
      </c>
      <c r="F131" s="116">
        <f t="shared" si="46"/>
        <v>210742.58105000001</v>
      </c>
      <c r="G131" s="116">
        <f t="shared" si="46"/>
        <v>42930.473369999992</v>
      </c>
      <c r="H131" s="116">
        <f t="shared" si="46"/>
        <v>37613.598400000003</v>
      </c>
      <c r="I131" s="116">
        <f t="shared" si="46"/>
        <v>21437.331330000001</v>
      </c>
      <c r="J131" s="116">
        <f t="shared" si="46"/>
        <v>154925.52005680001</v>
      </c>
      <c r="K131" s="116">
        <f t="shared" si="46"/>
        <v>186059.06706999999</v>
      </c>
      <c r="L131" s="116">
        <f t="shared" si="46"/>
        <v>-28057.471674399974</v>
      </c>
      <c r="M131" s="116">
        <f t="shared" si="46"/>
        <v>-141658.166</v>
      </c>
      <c r="N131" s="116">
        <f t="shared" si="46"/>
        <v>-127910.68519999998</v>
      </c>
      <c r="O131" s="116">
        <f>O105+O106+O119-O120-O122-O123-O125-O127-O128-O129-O121</f>
        <v>-76644.579994199987</v>
      </c>
      <c r="P131" s="90"/>
      <c r="Q131" s="90"/>
      <c r="R131" s="90"/>
      <c r="S131" s="90"/>
      <c r="T131" s="90"/>
      <c r="U131" s="90"/>
      <c r="V131" s="90"/>
      <c r="W131" s="90"/>
    </row>
    <row r="132" spans="1:23" ht="23.1" customHeight="1" x14ac:dyDescent="0.35">
      <c r="A132" s="117"/>
      <c r="B132" s="118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90"/>
      <c r="Q132" s="90"/>
      <c r="R132" s="90"/>
      <c r="S132" s="90"/>
      <c r="T132" s="90"/>
      <c r="U132" s="90"/>
      <c r="V132" s="90"/>
      <c r="W132" s="90"/>
    </row>
    <row r="133" spans="1:23" ht="20.100000000000001" customHeight="1" thickBot="1" x14ac:dyDescent="0.4">
      <c r="A133" s="120" t="s">
        <v>64</v>
      </c>
      <c r="B133" s="121"/>
      <c r="C133" s="122"/>
      <c r="D133" s="149">
        <f>D103+D131</f>
        <v>78083.312067399995</v>
      </c>
      <c r="E133" s="149">
        <f>D133+E131</f>
        <v>121039.99443179999</v>
      </c>
      <c r="F133" s="149">
        <f t="shared" ref="F133:O133" si="47">E133+F131</f>
        <v>331782.57548180001</v>
      </c>
      <c r="G133" s="149">
        <f t="shared" si="47"/>
        <v>374713.04885180003</v>
      </c>
      <c r="H133" s="149">
        <f t="shared" si="47"/>
        <v>412326.64725180005</v>
      </c>
      <c r="I133" s="149">
        <f t="shared" si="47"/>
        <v>433763.97858180007</v>
      </c>
      <c r="J133" s="149">
        <f>I133+J131</f>
        <v>588689.49863860011</v>
      </c>
      <c r="K133" s="149">
        <f t="shared" si="47"/>
        <v>774748.5657086001</v>
      </c>
      <c r="L133" s="149">
        <f>K133+L131</f>
        <v>746691.09403420007</v>
      </c>
      <c r="M133" s="149">
        <f t="shared" si="47"/>
        <v>605032.9280342001</v>
      </c>
      <c r="N133" s="149">
        <f t="shared" si="47"/>
        <v>477122.24283420015</v>
      </c>
      <c r="O133" s="150">
        <f t="shared" si="47"/>
        <v>400477.66284000018</v>
      </c>
      <c r="P133" s="90"/>
      <c r="Q133" s="90"/>
      <c r="R133" s="90"/>
      <c r="S133" s="90"/>
      <c r="T133" s="90"/>
      <c r="U133" s="90"/>
      <c r="V133" s="90"/>
      <c r="W133" s="90"/>
    </row>
    <row r="134" spans="1:23" ht="20.100000000000001" customHeight="1" x14ac:dyDescent="0.35">
      <c r="A134" s="90"/>
      <c r="B134" s="90"/>
      <c r="C134" s="123"/>
      <c r="D134" s="124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90"/>
      <c r="Q134" s="90"/>
      <c r="R134" s="90"/>
      <c r="S134" s="90"/>
      <c r="T134" s="90"/>
      <c r="U134" s="90"/>
      <c r="V134" s="90"/>
      <c r="W134" s="90"/>
    </row>
    <row r="135" spans="1:23" ht="13.5" customHeight="1" x14ac:dyDescent="0.35">
      <c r="C135" s="90"/>
      <c r="D135" s="125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</row>
    <row r="136" spans="1:23" ht="13.5" customHeight="1" x14ac:dyDescent="0.35">
      <c r="C136" s="90"/>
      <c r="D136" s="125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</row>
    <row r="137" spans="1:23" ht="13.5" customHeight="1" x14ac:dyDescent="0.35">
      <c r="A137" s="19"/>
      <c r="B137" s="19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</row>
    <row r="138" spans="1:23" ht="13.5" customHeight="1" x14ac:dyDescent="0.35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</row>
    <row r="139" spans="1:23" ht="13.5" customHeight="1" x14ac:dyDescent="0.35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</row>
    <row r="140" spans="1:23" ht="13.5" customHeight="1" x14ac:dyDescent="0.35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</row>
    <row r="141" spans="1:23" ht="13.5" customHeight="1" x14ac:dyDescent="0.35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</row>
    <row r="142" spans="1:23" ht="13.5" customHeight="1" x14ac:dyDescent="0.3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</row>
    <row r="143" spans="1:23" ht="13.5" customHeight="1" x14ac:dyDescent="0.35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</row>
    <row r="144" spans="1:23" ht="13.5" customHeight="1" x14ac:dyDescent="0.35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</row>
    <row r="145" spans="1:23" ht="13.5" customHeight="1" x14ac:dyDescent="0.3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</row>
    <row r="146" spans="1:23" ht="13.5" customHeight="1" x14ac:dyDescent="0.35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</row>
    <row r="147" spans="1:23" ht="13.5" customHeight="1" x14ac:dyDescent="0.35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</row>
    <row r="148" spans="1:23" ht="13.5" customHeight="1" x14ac:dyDescent="0.35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</row>
    <row r="149" spans="1:23" ht="13.5" customHeight="1" x14ac:dyDescent="0.35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</row>
    <row r="150" spans="1:23" ht="13.5" customHeight="1" x14ac:dyDescent="0.35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</row>
    <row r="151" spans="1:23" ht="13.5" customHeight="1" x14ac:dyDescent="0.35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</row>
    <row r="152" spans="1:23" ht="13.5" customHeight="1" x14ac:dyDescent="0.3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</row>
    <row r="153" spans="1:23" ht="13.5" customHeight="1" x14ac:dyDescent="0.35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</row>
    <row r="154" spans="1:23" ht="13.5" customHeight="1" x14ac:dyDescent="0.3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</row>
    <row r="155" spans="1:23" ht="13.5" customHeight="1" x14ac:dyDescent="0.3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</row>
    <row r="156" spans="1:23" ht="13.5" customHeight="1" x14ac:dyDescent="0.35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</row>
    <row r="157" spans="1:23" ht="13.5" customHeight="1" x14ac:dyDescent="0.35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</row>
    <row r="158" spans="1:23" ht="13.5" customHeight="1" x14ac:dyDescent="0.35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</row>
    <row r="159" spans="1:23" ht="13.5" customHeight="1" x14ac:dyDescent="0.35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</row>
    <row r="160" spans="1:23" ht="13.5" customHeight="1" x14ac:dyDescent="0.35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</row>
    <row r="161" spans="1:23" ht="13.5" customHeight="1" x14ac:dyDescent="0.35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</row>
    <row r="162" spans="1:23" ht="13.5" customHeight="1" x14ac:dyDescent="0.35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</row>
    <row r="163" spans="1:23" ht="13.5" customHeight="1" x14ac:dyDescent="0.35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</row>
    <row r="164" spans="1:23" ht="13.5" customHeight="1" x14ac:dyDescent="0.3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</row>
    <row r="165" spans="1:23" ht="13.5" customHeight="1" x14ac:dyDescent="0.3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</row>
    <row r="166" spans="1:23" ht="13.5" customHeight="1" x14ac:dyDescent="0.3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</row>
    <row r="167" spans="1:23" ht="13.5" customHeight="1" x14ac:dyDescent="0.35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</row>
    <row r="168" spans="1:23" ht="13.5" customHeight="1" x14ac:dyDescent="0.35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</row>
    <row r="169" spans="1:23" ht="13.5" customHeight="1" x14ac:dyDescent="0.3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</row>
    <row r="170" spans="1:23" ht="13.5" customHeight="1" x14ac:dyDescent="0.35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</row>
    <row r="171" spans="1:23" ht="13.5" customHeight="1" x14ac:dyDescent="0.35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</row>
    <row r="172" spans="1:23" ht="13.5" customHeight="1" x14ac:dyDescent="0.35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</row>
    <row r="173" spans="1:23" ht="13.5" customHeight="1" x14ac:dyDescent="0.35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</row>
    <row r="174" spans="1:23" ht="13.5" customHeight="1" x14ac:dyDescent="0.35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</row>
    <row r="175" spans="1:23" ht="13.5" customHeight="1" x14ac:dyDescent="0.3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</row>
    <row r="176" spans="1:23" ht="13.5" customHeight="1" x14ac:dyDescent="0.35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</row>
    <row r="177" spans="1:23" ht="13.5" customHeight="1" x14ac:dyDescent="0.35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</row>
    <row r="178" spans="1:23" ht="13.5" customHeight="1" x14ac:dyDescent="0.35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</row>
    <row r="179" spans="1:23" ht="13.5" customHeight="1" x14ac:dyDescent="0.3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</row>
    <row r="180" spans="1:23" ht="13.5" customHeight="1" x14ac:dyDescent="0.35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</row>
    <row r="181" spans="1:23" ht="13.5" customHeight="1" x14ac:dyDescent="0.35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</row>
    <row r="182" spans="1:23" ht="13.5" customHeight="1" x14ac:dyDescent="0.35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</row>
    <row r="183" spans="1:23" ht="13.5" customHeight="1" x14ac:dyDescent="0.35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</row>
    <row r="184" spans="1:23" ht="13.5" customHeight="1" x14ac:dyDescent="0.35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</row>
    <row r="185" spans="1:23" ht="13.5" customHeight="1" x14ac:dyDescent="0.3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</row>
    <row r="186" spans="1:23" ht="13.5" customHeight="1" x14ac:dyDescent="0.35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</row>
    <row r="187" spans="1:23" ht="13.5" customHeight="1" x14ac:dyDescent="0.35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</row>
    <row r="188" spans="1:23" ht="13.5" customHeight="1" x14ac:dyDescent="0.35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</row>
    <row r="189" spans="1:23" ht="13.5" customHeight="1" x14ac:dyDescent="0.35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</row>
    <row r="190" spans="1:23" ht="13.5" customHeight="1" x14ac:dyDescent="0.35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</row>
    <row r="191" spans="1:23" ht="13.5" customHeight="1" x14ac:dyDescent="0.35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</row>
    <row r="192" spans="1:23" ht="13.5" customHeight="1" x14ac:dyDescent="0.35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</row>
    <row r="193" spans="1:23" ht="13.5" customHeight="1" x14ac:dyDescent="0.35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</row>
    <row r="194" spans="1:23" ht="13.5" customHeight="1" x14ac:dyDescent="0.35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</row>
    <row r="195" spans="1:23" ht="13.5" customHeight="1" x14ac:dyDescent="0.3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</row>
    <row r="196" spans="1:23" ht="13.5" customHeight="1" x14ac:dyDescent="0.35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</row>
    <row r="197" spans="1:23" ht="13.5" customHeight="1" x14ac:dyDescent="0.35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</row>
    <row r="198" spans="1:23" ht="13.5" customHeight="1" x14ac:dyDescent="0.35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</row>
    <row r="199" spans="1:23" ht="13.5" customHeight="1" x14ac:dyDescent="0.3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</row>
    <row r="200" spans="1:23" ht="13.5" customHeight="1" x14ac:dyDescent="0.35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</row>
    <row r="201" spans="1:23" ht="13.5" customHeight="1" x14ac:dyDescent="0.35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</row>
    <row r="202" spans="1:23" ht="13.5" customHeight="1" x14ac:dyDescent="0.35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</row>
    <row r="203" spans="1:23" ht="13.5" customHeight="1" x14ac:dyDescent="0.35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</row>
    <row r="204" spans="1:23" ht="13.5" customHeight="1" x14ac:dyDescent="0.35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</row>
    <row r="205" spans="1:23" ht="13.5" customHeight="1" x14ac:dyDescent="0.3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</row>
    <row r="206" spans="1:23" ht="13.5" customHeight="1" x14ac:dyDescent="0.3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</row>
    <row r="207" spans="1:23" ht="13.5" customHeight="1" x14ac:dyDescent="0.3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</row>
    <row r="208" spans="1:23" ht="13.5" customHeight="1" x14ac:dyDescent="0.35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</row>
    <row r="209" spans="1:23" ht="13.5" customHeight="1" x14ac:dyDescent="0.35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</row>
    <row r="210" spans="1:23" ht="13.5" customHeight="1" x14ac:dyDescent="0.35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</row>
    <row r="211" spans="1:23" ht="13.5" customHeight="1" x14ac:dyDescent="0.35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</row>
    <row r="212" spans="1:23" ht="13.5" customHeight="1" x14ac:dyDescent="0.35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</row>
    <row r="213" spans="1:23" ht="13.5" customHeight="1" x14ac:dyDescent="0.35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</row>
    <row r="214" spans="1:23" ht="13.5" customHeight="1" x14ac:dyDescent="0.35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</row>
    <row r="215" spans="1:23" ht="13.5" customHeight="1" x14ac:dyDescent="0.3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</row>
    <row r="216" spans="1:23" ht="13.5" customHeight="1" x14ac:dyDescent="0.35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</row>
    <row r="217" spans="1:23" ht="13.5" customHeight="1" x14ac:dyDescent="0.35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</row>
    <row r="218" spans="1:23" ht="13.5" customHeight="1" x14ac:dyDescent="0.35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</row>
    <row r="219" spans="1:23" ht="13.5" customHeight="1" x14ac:dyDescent="0.35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</row>
    <row r="220" spans="1:23" ht="13.5" customHeight="1" x14ac:dyDescent="0.35"/>
    <row r="221" spans="1:23" ht="13.5" customHeight="1" x14ac:dyDescent="0.35"/>
    <row r="222" spans="1:23" ht="13.5" customHeight="1" x14ac:dyDescent="0.35"/>
    <row r="223" spans="1:23" ht="13.5" customHeight="1" x14ac:dyDescent="0.35"/>
    <row r="224" spans="1:23" ht="13.5" customHeight="1" x14ac:dyDescent="0.35"/>
    <row r="225" ht="13.5" customHeight="1" x14ac:dyDescent="0.35"/>
    <row r="226" ht="13.5" customHeight="1" x14ac:dyDescent="0.35"/>
    <row r="227" ht="13.5" customHeight="1" x14ac:dyDescent="0.35"/>
    <row r="228" ht="13.5" customHeight="1" x14ac:dyDescent="0.35"/>
    <row r="229" ht="13.5" customHeight="1" x14ac:dyDescent="0.35"/>
    <row r="230" ht="13.5" customHeight="1" x14ac:dyDescent="0.35"/>
    <row r="231" ht="13.5" customHeight="1" x14ac:dyDescent="0.35"/>
    <row r="232" ht="13.5" customHeight="1" x14ac:dyDescent="0.35"/>
    <row r="233" ht="13.5" customHeight="1" x14ac:dyDescent="0.35"/>
    <row r="234" ht="13.5" customHeight="1" x14ac:dyDescent="0.35"/>
    <row r="235" ht="13.5" customHeight="1" x14ac:dyDescent="0.35"/>
    <row r="236" ht="13.5" customHeight="1" x14ac:dyDescent="0.35"/>
    <row r="237" ht="13.5" customHeight="1" x14ac:dyDescent="0.35"/>
    <row r="238" ht="13.5" customHeight="1" x14ac:dyDescent="0.35"/>
    <row r="239" ht="13.5" customHeight="1" x14ac:dyDescent="0.35"/>
    <row r="240" ht="13.5" customHeight="1" x14ac:dyDescent="0.35"/>
    <row r="241" ht="13.5" customHeight="1" x14ac:dyDescent="0.35"/>
    <row r="242" ht="13.5" customHeight="1" x14ac:dyDescent="0.35"/>
    <row r="243" ht="13.5" customHeight="1" x14ac:dyDescent="0.35"/>
    <row r="244" ht="13.5" customHeight="1" x14ac:dyDescent="0.35"/>
    <row r="245" ht="13.5" customHeight="1" x14ac:dyDescent="0.35"/>
    <row r="246" ht="13.5" customHeight="1" x14ac:dyDescent="0.35"/>
    <row r="247" ht="13.5" customHeight="1" x14ac:dyDescent="0.35"/>
    <row r="248" ht="13.5" customHeight="1" x14ac:dyDescent="0.35"/>
    <row r="249" ht="13.5" customHeight="1" x14ac:dyDescent="0.35"/>
    <row r="250" ht="13.5" customHeight="1" x14ac:dyDescent="0.35"/>
    <row r="251" ht="13.5" customHeight="1" x14ac:dyDescent="0.35"/>
    <row r="252" ht="13.5" customHeight="1" x14ac:dyDescent="0.35"/>
    <row r="253" ht="13.5" customHeight="1" x14ac:dyDescent="0.35"/>
    <row r="254" ht="13.5" customHeight="1" x14ac:dyDescent="0.35"/>
    <row r="255" ht="13.5" customHeight="1" x14ac:dyDescent="0.35"/>
    <row r="256" ht="13.5" customHeight="1" x14ac:dyDescent="0.35"/>
    <row r="257" ht="13.5" customHeight="1" x14ac:dyDescent="0.35"/>
    <row r="258" ht="13.5" customHeight="1" x14ac:dyDescent="0.35"/>
    <row r="259" ht="13.5" customHeight="1" x14ac:dyDescent="0.35"/>
    <row r="260" ht="13.5" customHeight="1" x14ac:dyDescent="0.35"/>
    <row r="261" ht="13.5" customHeight="1" x14ac:dyDescent="0.35"/>
    <row r="262" ht="13.5" customHeight="1" x14ac:dyDescent="0.35"/>
    <row r="263" ht="13.5" customHeight="1" x14ac:dyDescent="0.35"/>
    <row r="264" ht="13.5" customHeight="1" x14ac:dyDescent="0.35"/>
    <row r="265" ht="13.5" customHeight="1" x14ac:dyDescent="0.35"/>
    <row r="266" ht="13.5" customHeight="1" x14ac:dyDescent="0.35"/>
    <row r="267" ht="13.5" customHeight="1" x14ac:dyDescent="0.35"/>
    <row r="268" ht="13.5" customHeight="1" x14ac:dyDescent="0.35"/>
    <row r="269" ht="13.5" customHeight="1" x14ac:dyDescent="0.35"/>
    <row r="270" ht="13.5" customHeight="1" x14ac:dyDescent="0.35"/>
    <row r="271" ht="13.5" customHeight="1" x14ac:dyDescent="0.35"/>
    <row r="272" ht="13.5" customHeight="1" x14ac:dyDescent="0.35"/>
    <row r="273" ht="13.5" customHeight="1" x14ac:dyDescent="0.35"/>
    <row r="274" ht="13.5" customHeight="1" x14ac:dyDescent="0.35"/>
    <row r="275" ht="13.5" customHeight="1" x14ac:dyDescent="0.35"/>
    <row r="276" ht="13.5" customHeight="1" x14ac:dyDescent="0.35"/>
    <row r="277" ht="13.5" customHeight="1" x14ac:dyDescent="0.35"/>
    <row r="278" ht="13.5" customHeight="1" x14ac:dyDescent="0.35"/>
    <row r="279" ht="13.5" customHeight="1" x14ac:dyDescent="0.35"/>
    <row r="280" ht="13.5" customHeight="1" x14ac:dyDescent="0.35"/>
    <row r="281" ht="13.5" customHeight="1" x14ac:dyDescent="0.35"/>
    <row r="282" ht="13.5" customHeight="1" x14ac:dyDescent="0.35"/>
    <row r="283" ht="13.5" customHeight="1" x14ac:dyDescent="0.35"/>
    <row r="284" ht="13.5" customHeight="1" x14ac:dyDescent="0.35"/>
    <row r="285" ht="13.5" customHeight="1" x14ac:dyDescent="0.35"/>
    <row r="286" ht="13.5" customHeight="1" x14ac:dyDescent="0.35"/>
    <row r="287" ht="13.5" customHeight="1" x14ac:dyDescent="0.35"/>
    <row r="288" ht="13.5" customHeight="1" x14ac:dyDescent="0.35"/>
    <row r="289" ht="13.5" customHeight="1" x14ac:dyDescent="0.35"/>
    <row r="290" ht="13.5" customHeight="1" x14ac:dyDescent="0.35"/>
    <row r="291" ht="13.5" customHeight="1" x14ac:dyDescent="0.35"/>
    <row r="292" ht="13.5" customHeight="1" x14ac:dyDescent="0.35"/>
    <row r="293" ht="13.5" customHeight="1" x14ac:dyDescent="0.35"/>
    <row r="294" ht="13.5" customHeight="1" x14ac:dyDescent="0.35"/>
    <row r="295" ht="13.5" customHeight="1" x14ac:dyDescent="0.35"/>
    <row r="296" ht="13.5" customHeight="1" x14ac:dyDescent="0.35"/>
    <row r="297" ht="13.5" customHeight="1" x14ac:dyDescent="0.35"/>
    <row r="298" ht="13.5" customHeight="1" x14ac:dyDescent="0.35"/>
    <row r="299" ht="13.5" customHeight="1" x14ac:dyDescent="0.35"/>
    <row r="300" ht="13.5" customHeight="1" x14ac:dyDescent="0.35"/>
    <row r="301" ht="13.5" customHeight="1" x14ac:dyDescent="0.35"/>
    <row r="302" ht="13.5" customHeight="1" x14ac:dyDescent="0.35"/>
    <row r="303" ht="13.5" customHeight="1" x14ac:dyDescent="0.35"/>
    <row r="304" ht="13.5" customHeight="1" x14ac:dyDescent="0.35"/>
    <row r="305" ht="13.5" customHeight="1" x14ac:dyDescent="0.35"/>
    <row r="306" ht="13.5" customHeight="1" x14ac:dyDescent="0.35"/>
    <row r="307" ht="13.5" customHeight="1" x14ac:dyDescent="0.35"/>
    <row r="308" ht="13.5" customHeight="1" x14ac:dyDescent="0.35"/>
    <row r="309" ht="13.5" customHeight="1" x14ac:dyDescent="0.35"/>
    <row r="310" ht="13.5" customHeight="1" x14ac:dyDescent="0.35"/>
    <row r="311" ht="13.5" customHeight="1" x14ac:dyDescent="0.35"/>
    <row r="312" ht="13.5" customHeight="1" x14ac:dyDescent="0.35"/>
    <row r="313" ht="13.5" customHeight="1" x14ac:dyDescent="0.35"/>
    <row r="314" ht="13.5" customHeight="1" x14ac:dyDescent="0.35"/>
    <row r="315" ht="13.5" customHeight="1" x14ac:dyDescent="0.35"/>
    <row r="316" ht="13.5" customHeight="1" x14ac:dyDescent="0.35"/>
    <row r="317" ht="13.5" customHeight="1" x14ac:dyDescent="0.35"/>
    <row r="318" ht="13.5" customHeight="1" x14ac:dyDescent="0.35"/>
    <row r="319" ht="13.5" customHeight="1" x14ac:dyDescent="0.35"/>
    <row r="320" ht="13.5" customHeight="1" x14ac:dyDescent="0.35"/>
    <row r="321" ht="13.5" customHeight="1" x14ac:dyDescent="0.35"/>
    <row r="322" ht="13.5" customHeight="1" x14ac:dyDescent="0.35"/>
    <row r="323" ht="13.5" customHeight="1" x14ac:dyDescent="0.35"/>
    <row r="324" ht="13.5" customHeight="1" x14ac:dyDescent="0.35"/>
    <row r="325" ht="13.5" customHeight="1" x14ac:dyDescent="0.35"/>
    <row r="326" ht="13.5" customHeight="1" x14ac:dyDescent="0.35"/>
    <row r="327" ht="13.5" customHeight="1" x14ac:dyDescent="0.35"/>
    <row r="328" ht="13.5" customHeight="1" x14ac:dyDescent="0.35"/>
    <row r="329" ht="13.5" customHeight="1" x14ac:dyDescent="0.35"/>
    <row r="330" ht="13.5" customHeight="1" x14ac:dyDescent="0.35"/>
    <row r="331" ht="13.5" customHeight="1" x14ac:dyDescent="0.35"/>
    <row r="332" ht="13.5" customHeight="1" x14ac:dyDescent="0.35"/>
    <row r="333" ht="13.5" customHeight="1" x14ac:dyDescent="0.35"/>
    <row r="334" ht="13.5" customHeight="1" x14ac:dyDescent="0.35"/>
    <row r="335" ht="13.5" customHeight="1" x14ac:dyDescent="0.35"/>
    <row r="336" ht="13.5" customHeight="1" x14ac:dyDescent="0.35"/>
    <row r="337" ht="13.5" customHeight="1" x14ac:dyDescent="0.35"/>
    <row r="338" ht="13.5" customHeight="1" x14ac:dyDescent="0.35"/>
    <row r="339" ht="13.5" customHeight="1" x14ac:dyDescent="0.35"/>
    <row r="340" ht="13.5" customHeight="1" x14ac:dyDescent="0.35"/>
    <row r="341" ht="13.5" customHeight="1" x14ac:dyDescent="0.35"/>
    <row r="342" ht="13.5" customHeight="1" x14ac:dyDescent="0.35"/>
    <row r="343" ht="13.5" customHeight="1" x14ac:dyDescent="0.35"/>
    <row r="344" ht="13.5" customHeight="1" x14ac:dyDescent="0.35"/>
    <row r="345" ht="13.5" customHeight="1" x14ac:dyDescent="0.35"/>
    <row r="346" ht="13.5" customHeight="1" x14ac:dyDescent="0.35"/>
    <row r="347" ht="13.5" customHeight="1" x14ac:dyDescent="0.35"/>
    <row r="348" ht="13.5" customHeight="1" x14ac:dyDescent="0.35"/>
    <row r="349" ht="13.5" customHeight="1" x14ac:dyDescent="0.35"/>
    <row r="350" ht="13.5" customHeight="1" x14ac:dyDescent="0.35"/>
    <row r="351" ht="13.5" customHeight="1" x14ac:dyDescent="0.35"/>
    <row r="352" ht="13.5" customHeight="1" x14ac:dyDescent="0.35"/>
    <row r="353" ht="13.5" customHeight="1" x14ac:dyDescent="0.35"/>
    <row r="354" ht="13.5" customHeight="1" x14ac:dyDescent="0.35"/>
    <row r="355" ht="13.5" customHeight="1" x14ac:dyDescent="0.35"/>
    <row r="356" ht="13.5" customHeight="1" x14ac:dyDescent="0.35"/>
    <row r="357" ht="13.5" customHeight="1" x14ac:dyDescent="0.35"/>
    <row r="358" ht="13.5" customHeight="1" x14ac:dyDescent="0.35"/>
    <row r="359" ht="13.5" customHeight="1" x14ac:dyDescent="0.35"/>
    <row r="360" ht="13.5" customHeight="1" x14ac:dyDescent="0.35"/>
    <row r="361" ht="13.5" customHeight="1" x14ac:dyDescent="0.35"/>
    <row r="362" ht="13.5" customHeight="1" x14ac:dyDescent="0.35"/>
    <row r="363" ht="13.5" customHeight="1" x14ac:dyDescent="0.35"/>
    <row r="364" ht="13.5" customHeight="1" x14ac:dyDescent="0.35"/>
    <row r="365" ht="13.5" customHeight="1" x14ac:dyDescent="0.35"/>
    <row r="366" ht="13.5" customHeight="1" x14ac:dyDescent="0.35"/>
    <row r="367" ht="13.5" customHeight="1" x14ac:dyDescent="0.35"/>
    <row r="368" ht="13.5" customHeight="1" x14ac:dyDescent="0.35"/>
    <row r="369" ht="13.5" customHeight="1" x14ac:dyDescent="0.35"/>
    <row r="370" ht="13.5" customHeight="1" x14ac:dyDescent="0.35"/>
    <row r="371" ht="13.5" customHeight="1" x14ac:dyDescent="0.35"/>
    <row r="372" ht="13.5" customHeight="1" x14ac:dyDescent="0.35"/>
    <row r="373" ht="13.5" customHeight="1" x14ac:dyDescent="0.35"/>
    <row r="374" ht="13.5" customHeight="1" x14ac:dyDescent="0.35"/>
    <row r="375" ht="13.5" customHeight="1" x14ac:dyDescent="0.35"/>
    <row r="376" ht="13.5" customHeight="1" x14ac:dyDescent="0.35"/>
    <row r="377" ht="13.5" customHeight="1" x14ac:dyDescent="0.35"/>
    <row r="378" ht="13.5" customHeight="1" x14ac:dyDescent="0.35"/>
    <row r="379" ht="13.5" customHeight="1" x14ac:dyDescent="0.35"/>
    <row r="380" ht="13.5" customHeight="1" x14ac:dyDescent="0.35"/>
    <row r="381" ht="13.5" customHeight="1" x14ac:dyDescent="0.35"/>
    <row r="382" ht="13.5" customHeight="1" x14ac:dyDescent="0.35"/>
    <row r="383" ht="13.5" customHeight="1" x14ac:dyDescent="0.35"/>
    <row r="384" ht="13.5" customHeight="1" x14ac:dyDescent="0.35"/>
    <row r="385" ht="13.5" customHeight="1" x14ac:dyDescent="0.35"/>
    <row r="386" ht="13.5" customHeight="1" x14ac:dyDescent="0.35"/>
    <row r="387" ht="13.5" customHeight="1" x14ac:dyDescent="0.35"/>
    <row r="388" ht="13.5" customHeight="1" x14ac:dyDescent="0.35"/>
    <row r="389" ht="13.5" customHeight="1" x14ac:dyDescent="0.35"/>
    <row r="390" ht="13.5" customHeight="1" x14ac:dyDescent="0.35"/>
    <row r="391" ht="13.5" customHeight="1" x14ac:dyDescent="0.35"/>
    <row r="392" ht="13.5" customHeight="1" x14ac:dyDescent="0.35"/>
    <row r="393" ht="13.5" customHeight="1" x14ac:dyDescent="0.35"/>
    <row r="394" ht="13.5" customHeight="1" x14ac:dyDescent="0.35"/>
    <row r="395" ht="13.5" customHeight="1" x14ac:dyDescent="0.35"/>
    <row r="396" ht="13.5" customHeight="1" x14ac:dyDescent="0.35"/>
    <row r="397" ht="13.5" customHeight="1" x14ac:dyDescent="0.35"/>
    <row r="398" ht="13.5" customHeight="1" x14ac:dyDescent="0.35"/>
    <row r="399" ht="13.5" customHeight="1" x14ac:dyDescent="0.35"/>
    <row r="400" ht="13.5" customHeight="1" x14ac:dyDescent="0.35"/>
    <row r="401" ht="13.5" customHeight="1" x14ac:dyDescent="0.35"/>
    <row r="402" ht="13.5" customHeight="1" x14ac:dyDescent="0.35"/>
    <row r="403" ht="13.5" customHeight="1" x14ac:dyDescent="0.35"/>
    <row r="404" ht="13.5" customHeight="1" x14ac:dyDescent="0.35"/>
    <row r="405" ht="13.5" customHeight="1" x14ac:dyDescent="0.35"/>
    <row r="406" ht="13.5" customHeight="1" x14ac:dyDescent="0.35"/>
    <row r="407" ht="13.5" customHeight="1" x14ac:dyDescent="0.35"/>
    <row r="408" ht="13.5" customHeight="1" x14ac:dyDescent="0.35"/>
    <row r="409" ht="13.5" customHeight="1" x14ac:dyDescent="0.35"/>
    <row r="410" ht="13.5" customHeight="1" x14ac:dyDescent="0.35"/>
    <row r="411" ht="13.5" customHeight="1" x14ac:dyDescent="0.35"/>
    <row r="412" ht="13.5" customHeight="1" x14ac:dyDescent="0.35"/>
    <row r="413" ht="13.5" customHeight="1" x14ac:dyDescent="0.35"/>
    <row r="414" ht="13.5" customHeight="1" x14ac:dyDescent="0.35"/>
    <row r="415" ht="13.5" customHeight="1" x14ac:dyDescent="0.35"/>
    <row r="416" ht="13.5" customHeight="1" x14ac:dyDescent="0.35"/>
    <row r="417" ht="13.5" customHeight="1" x14ac:dyDescent="0.35"/>
    <row r="418" ht="13.5" customHeight="1" x14ac:dyDescent="0.35"/>
    <row r="419" ht="13.5" customHeight="1" x14ac:dyDescent="0.35"/>
    <row r="420" ht="13.5" customHeight="1" x14ac:dyDescent="0.35"/>
    <row r="421" ht="13.5" customHeight="1" x14ac:dyDescent="0.35"/>
    <row r="422" ht="13.5" customHeight="1" x14ac:dyDescent="0.35"/>
    <row r="423" ht="13.5" customHeight="1" x14ac:dyDescent="0.35"/>
    <row r="424" ht="13.5" customHeight="1" x14ac:dyDescent="0.35"/>
    <row r="425" ht="13.5" customHeight="1" x14ac:dyDescent="0.35"/>
    <row r="426" ht="13.5" customHeight="1" x14ac:dyDescent="0.35"/>
    <row r="427" ht="13.5" customHeight="1" x14ac:dyDescent="0.35"/>
    <row r="428" ht="13.5" customHeight="1" x14ac:dyDescent="0.35"/>
    <row r="429" ht="13.5" customHeight="1" x14ac:dyDescent="0.35"/>
    <row r="430" ht="13.5" customHeight="1" x14ac:dyDescent="0.35"/>
    <row r="431" ht="13.5" customHeight="1" x14ac:dyDescent="0.35"/>
    <row r="432" ht="13.5" customHeight="1" x14ac:dyDescent="0.35"/>
    <row r="433" ht="13.5" customHeight="1" x14ac:dyDescent="0.35"/>
    <row r="434" ht="13.5" customHeight="1" x14ac:dyDescent="0.35"/>
    <row r="435" ht="13.5" customHeight="1" x14ac:dyDescent="0.35"/>
    <row r="436" ht="13.5" customHeight="1" x14ac:dyDescent="0.35"/>
    <row r="437" ht="13.5" customHeight="1" x14ac:dyDescent="0.35"/>
    <row r="438" ht="13.5" customHeight="1" x14ac:dyDescent="0.35"/>
    <row r="439" ht="13.5" customHeight="1" x14ac:dyDescent="0.35"/>
    <row r="440" ht="13.5" customHeight="1" x14ac:dyDescent="0.35"/>
    <row r="441" ht="13.5" customHeight="1" x14ac:dyDescent="0.35"/>
    <row r="442" ht="13.5" customHeight="1" x14ac:dyDescent="0.35"/>
    <row r="443" ht="13.5" customHeight="1" x14ac:dyDescent="0.35"/>
    <row r="444" ht="13.5" customHeight="1" x14ac:dyDescent="0.35"/>
    <row r="445" ht="13.5" customHeight="1" x14ac:dyDescent="0.35"/>
    <row r="446" ht="13.5" customHeight="1" x14ac:dyDescent="0.35"/>
    <row r="447" ht="13.5" customHeight="1" x14ac:dyDescent="0.35"/>
    <row r="448" ht="13.5" customHeight="1" x14ac:dyDescent="0.35"/>
    <row r="449" ht="13.5" customHeight="1" x14ac:dyDescent="0.35"/>
    <row r="450" ht="13.5" customHeight="1" x14ac:dyDescent="0.35"/>
    <row r="451" ht="13.5" customHeight="1" x14ac:dyDescent="0.35"/>
    <row r="452" ht="13.5" customHeight="1" x14ac:dyDescent="0.35"/>
    <row r="453" ht="13.5" customHeight="1" x14ac:dyDescent="0.35"/>
    <row r="454" ht="13.5" customHeight="1" x14ac:dyDescent="0.35"/>
    <row r="455" ht="13.5" customHeight="1" x14ac:dyDescent="0.35"/>
    <row r="456" ht="13.5" customHeight="1" x14ac:dyDescent="0.35"/>
    <row r="457" ht="13.5" customHeight="1" x14ac:dyDescent="0.35"/>
    <row r="458" ht="13.5" customHeight="1" x14ac:dyDescent="0.35"/>
    <row r="459" ht="13.5" customHeight="1" x14ac:dyDescent="0.35"/>
    <row r="460" ht="13.5" customHeight="1" x14ac:dyDescent="0.35"/>
    <row r="461" ht="13.5" customHeight="1" x14ac:dyDescent="0.35"/>
    <row r="462" ht="13.5" customHeight="1" x14ac:dyDescent="0.35"/>
    <row r="463" ht="13.5" customHeight="1" x14ac:dyDescent="0.35"/>
    <row r="464" ht="13.5" customHeight="1" x14ac:dyDescent="0.35"/>
    <row r="465" ht="13.5" customHeight="1" x14ac:dyDescent="0.35"/>
    <row r="466" ht="13.5" customHeight="1" x14ac:dyDescent="0.35"/>
    <row r="467" ht="13.5" customHeight="1" x14ac:dyDescent="0.35"/>
    <row r="468" ht="13.5" customHeight="1" x14ac:dyDescent="0.35"/>
    <row r="469" ht="13.5" customHeight="1" x14ac:dyDescent="0.35"/>
    <row r="470" ht="13.5" customHeight="1" x14ac:dyDescent="0.35"/>
    <row r="471" ht="13.5" customHeight="1" x14ac:dyDescent="0.35"/>
    <row r="472" ht="13.5" customHeight="1" x14ac:dyDescent="0.35"/>
    <row r="473" ht="13.5" customHeight="1" x14ac:dyDescent="0.35"/>
    <row r="474" ht="13.5" customHeight="1" x14ac:dyDescent="0.35"/>
    <row r="475" ht="13.5" customHeight="1" x14ac:dyDescent="0.35"/>
    <row r="476" ht="13.5" customHeight="1" x14ac:dyDescent="0.35"/>
    <row r="477" ht="13.5" customHeight="1" x14ac:dyDescent="0.35"/>
    <row r="478" ht="13.5" customHeight="1" x14ac:dyDescent="0.35"/>
    <row r="479" ht="13.5" customHeight="1" x14ac:dyDescent="0.35"/>
    <row r="480" ht="13.5" customHeight="1" x14ac:dyDescent="0.35"/>
    <row r="481" ht="13.5" customHeight="1" x14ac:dyDescent="0.35"/>
    <row r="482" ht="13.5" customHeight="1" x14ac:dyDescent="0.35"/>
    <row r="483" ht="13.5" customHeight="1" x14ac:dyDescent="0.35"/>
    <row r="484" ht="13.5" customHeight="1" x14ac:dyDescent="0.35"/>
    <row r="485" ht="13.5" customHeight="1" x14ac:dyDescent="0.35"/>
    <row r="486" ht="13.5" customHeight="1" x14ac:dyDescent="0.35"/>
    <row r="487" ht="13.5" customHeight="1" x14ac:dyDescent="0.35"/>
    <row r="488" ht="13.5" customHeight="1" x14ac:dyDescent="0.35"/>
    <row r="489" ht="13.5" customHeight="1" x14ac:dyDescent="0.35"/>
    <row r="490" ht="13.5" customHeight="1" x14ac:dyDescent="0.35"/>
    <row r="491" ht="13.5" customHeight="1" x14ac:dyDescent="0.35"/>
    <row r="492" ht="13.5" customHeight="1" x14ac:dyDescent="0.35"/>
    <row r="493" ht="13.5" customHeight="1" x14ac:dyDescent="0.35"/>
    <row r="494" ht="13.5" customHeight="1" x14ac:dyDescent="0.35"/>
    <row r="495" ht="13.5" customHeight="1" x14ac:dyDescent="0.35"/>
    <row r="496" ht="13.5" customHeight="1" x14ac:dyDescent="0.35"/>
    <row r="497" ht="13.5" customHeight="1" x14ac:dyDescent="0.35"/>
    <row r="498" ht="13.5" customHeight="1" x14ac:dyDescent="0.35"/>
    <row r="499" ht="13.5" customHeight="1" x14ac:dyDescent="0.35"/>
    <row r="500" ht="13.5" customHeight="1" x14ac:dyDescent="0.35"/>
    <row r="501" ht="13.5" customHeight="1" x14ac:dyDescent="0.35"/>
    <row r="502" ht="13.5" customHeight="1" x14ac:dyDescent="0.35"/>
    <row r="503" ht="13.5" customHeight="1" x14ac:dyDescent="0.35"/>
    <row r="504" ht="13.5" customHeight="1" x14ac:dyDescent="0.35"/>
    <row r="505" ht="13.5" customHeight="1" x14ac:dyDescent="0.35"/>
    <row r="506" ht="13.5" customHeight="1" x14ac:dyDescent="0.35"/>
    <row r="507" ht="13.5" customHeight="1" x14ac:dyDescent="0.35"/>
    <row r="508" ht="13.5" customHeight="1" x14ac:dyDescent="0.35"/>
    <row r="509" ht="13.5" customHeight="1" x14ac:dyDescent="0.35"/>
    <row r="510" ht="13.5" customHeight="1" x14ac:dyDescent="0.35"/>
    <row r="511" ht="13.5" customHeight="1" x14ac:dyDescent="0.35"/>
    <row r="512" ht="13.5" customHeight="1" x14ac:dyDescent="0.35"/>
    <row r="513" ht="13.5" customHeight="1" x14ac:dyDescent="0.35"/>
    <row r="514" ht="13.5" customHeight="1" x14ac:dyDescent="0.35"/>
    <row r="515" ht="13.5" customHeight="1" x14ac:dyDescent="0.35"/>
    <row r="516" ht="13.5" customHeight="1" x14ac:dyDescent="0.35"/>
    <row r="517" ht="13.5" customHeight="1" x14ac:dyDescent="0.35"/>
    <row r="518" ht="13.5" customHeight="1" x14ac:dyDescent="0.35"/>
    <row r="519" ht="13.5" customHeight="1" x14ac:dyDescent="0.35"/>
    <row r="520" ht="13.5" customHeight="1" x14ac:dyDescent="0.35"/>
    <row r="521" ht="13.5" customHeight="1" x14ac:dyDescent="0.35"/>
    <row r="522" ht="13.5" customHeight="1" x14ac:dyDescent="0.35"/>
    <row r="523" ht="13.5" customHeight="1" x14ac:dyDescent="0.35"/>
    <row r="524" ht="13.5" customHeight="1" x14ac:dyDescent="0.35"/>
    <row r="525" ht="13.5" customHeight="1" x14ac:dyDescent="0.35"/>
    <row r="526" ht="13.5" customHeight="1" x14ac:dyDescent="0.35"/>
    <row r="527" ht="13.5" customHeight="1" x14ac:dyDescent="0.35"/>
    <row r="528" ht="13.5" customHeight="1" x14ac:dyDescent="0.35"/>
    <row r="529" ht="13.5" customHeight="1" x14ac:dyDescent="0.35"/>
    <row r="530" ht="13.5" customHeight="1" x14ac:dyDescent="0.35"/>
    <row r="531" ht="13.5" customHeight="1" x14ac:dyDescent="0.35"/>
    <row r="532" ht="13.5" customHeight="1" x14ac:dyDescent="0.35"/>
    <row r="533" ht="13.5" customHeight="1" x14ac:dyDescent="0.35"/>
    <row r="534" ht="13.5" customHeight="1" x14ac:dyDescent="0.35"/>
    <row r="535" ht="13.5" customHeight="1" x14ac:dyDescent="0.35"/>
    <row r="536" ht="13.5" customHeight="1" x14ac:dyDescent="0.35"/>
    <row r="537" ht="13.5" customHeight="1" x14ac:dyDescent="0.35"/>
    <row r="538" ht="13.5" customHeight="1" x14ac:dyDescent="0.35"/>
    <row r="539" ht="13.5" customHeight="1" x14ac:dyDescent="0.35"/>
    <row r="540" ht="13.5" customHeight="1" x14ac:dyDescent="0.35"/>
    <row r="541" ht="13.5" customHeight="1" x14ac:dyDescent="0.35"/>
    <row r="542" ht="13.5" customHeight="1" x14ac:dyDescent="0.35"/>
    <row r="543" ht="13.5" customHeight="1" x14ac:dyDescent="0.35"/>
    <row r="544" ht="13.5" customHeight="1" x14ac:dyDescent="0.35"/>
    <row r="545" ht="13.5" customHeight="1" x14ac:dyDescent="0.35"/>
    <row r="546" ht="13.5" customHeight="1" x14ac:dyDescent="0.35"/>
    <row r="547" ht="13.5" customHeight="1" x14ac:dyDescent="0.35"/>
    <row r="548" ht="13.5" customHeight="1" x14ac:dyDescent="0.35"/>
    <row r="549" ht="13.5" customHeight="1" x14ac:dyDescent="0.35"/>
    <row r="550" ht="13.5" customHeight="1" x14ac:dyDescent="0.35"/>
    <row r="551" ht="13.5" customHeight="1" x14ac:dyDescent="0.35"/>
    <row r="552" ht="13.5" customHeight="1" x14ac:dyDescent="0.35"/>
    <row r="553" ht="13.5" customHeight="1" x14ac:dyDescent="0.35"/>
    <row r="554" ht="13.5" customHeight="1" x14ac:dyDescent="0.35"/>
    <row r="555" ht="13.5" customHeight="1" x14ac:dyDescent="0.35"/>
    <row r="556" ht="13.5" customHeight="1" x14ac:dyDescent="0.35"/>
    <row r="557" ht="13.5" customHeight="1" x14ac:dyDescent="0.35"/>
    <row r="558" ht="13.5" customHeight="1" x14ac:dyDescent="0.35"/>
    <row r="559" ht="13.5" customHeight="1" x14ac:dyDescent="0.35"/>
    <row r="560" ht="13.5" customHeight="1" x14ac:dyDescent="0.35"/>
    <row r="561" ht="13.5" customHeight="1" x14ac:dyDescent="0.35"/>
    <row r="562" ht="13.5" customHeight="1" x14ac:dyDescent="0.35"/>
    <row r="563" ht="13.5" customHeight="1" x14ac:dyDescent="0.35"/>
    <row r="564" ht="13.5" customHeight="1" x14ac:dyDescent="0.35"/>
    <row r="565" ht="13.5" customHeight="1" x14ac:dyDescent="0.35"/>
    <row r="566" ht="13.5" customHeight="1" x14ac:dyDescent="0.35"/>
    <row r="567" ht="13.5" customHeight="1" x14ac:dyDescent="0.35"/>
    <row r="568" ht="13.5" customHeight="1" x14ac:dyDescent="0.35"/>
    <row r="569" ht="13.5" customHeight="1" x14ac:dyDescent="0.35"/>
    <row r="570" ht="13.5" customHeight="1" x14ac:dyDescent="0.35"/>
    <row r="571" ht="13.5" customHeight="1" x14ac:dyDescent="0.35"/>
    <row r="572" ht="13.5" customHeight="1" x14ac:dyDescent="0.35"/>
    <row r="573" ht="13.5" customHeight="1" x14ac:dyDescent="0.35"/>
    <row r="574" ht="13.5" customHeight="1" x14ac:dyDescent="0.35"/>
    <row r="575" ht="13.5" customHeight="1" x14ac:dyDescent="0.35"/>
    <row r="576" ht="13.5" customHeight="1" x14ac:dyDescent="0.35"/>
    <row r="577" ht="13.5" customHeight="1" x14ac:dyDescent="0.35"/>
    <row r="578" ht="13.5" customHeight="1" x14ac:dyDescent="0.35"/>
    <row r="579" ht="13.5" customHeight="1" x14ac:dyDescent="0.35"/>
    <row r="580" ht="13.5" customHeight="1" x14ac:dyDescent="0.35"/>
    <row r="581" ht="13.5" customHeight="1" x14ac:dyDescent="0.35"/>
    <row r="582" ht="13.5" customHeight="1" x14ac:dyDescent="0.35"/>
    <row r="583" ht="13.5" customHeight="1" x14ac:dyDescent="0.35"/>
    <row r="584" ht="13.5" customHeight="1" x14ac:dyDescent="0.35"/>
    <row r="585" ht="13.5" customHeight="1" x14ac:dyDescent="0.35"/>
    <row r="586" ht="13.5" customHeight="1" x14ac:dyDescent="0.35"/>
    <row r="587" ht="13.5" customHeight="1" x14ac:dyDescent="0.35"/>
    <row r="588" ht="13.5" customHeight="1" x14ac:dyDescent="0.35"/>
    <row r="589" ht="13.5" customHeight="1" x14ac:dyDescent="0.35"/>
    <row r="590" ht="13.5" customHeight="1" x14ac:dyDescent="0.35"/>
    <row r="591" ht="13.5" customHeight="1" x14ac:dyDescent="0.35"/>
    <row r="592" ht="13.5" customHeight="1" x14ac:dyDescent="0.35"/>
    <row r="593" ht="13.5" customHeight="1" x14ac:dyDescent="0.35"/>
    <row r="594" ht="13.5" customHeight="1" x14ac:dyDescent="0.35"/>
    <row r="595" ht="13.5" customHeight="1" x14ac:dyDescent="0.35"/>
    <row r="596" ht="13.5" customHeight="1" x14ac:dyDescent="0.35"/>
    <row r="597" ht="13.5" customHeight="1" x14ac:dyDescent="0.35"/>
    <row r="598" ht="13.5" customHeight="1" x14ac:dyDescent="0.35"/>
    <row r="599" ht="13.5" customHeight="1" x14ac:dyDescent="0.35"/>
    <row r="600" ht="13.5" customHeight="1" x14ac:dyDescent="0.35"/>
    <row r="601" ht="13.5" customHeight="1" x14ac:dyDescent="0.35"/>
    <row r="602" ht="13.5" customHeight="1" x14ac:dyDescent="0.35"/>
    <row r="603" ht="13.5" customHeight="1" x14ac:dyDescent="0.35"/>
    <row r="604" ht="13.5" customHeight="1" x14ac:dyDescent="0.35"/>
    <row r="605" ht="13.5" customHeight="1" x14ac:dyDescent="0.35"/>
    <row r="606" ht="13.5" customHeight="1" x14ac:dyDescent="0.35"/>
    <row r="607" ht="13.5" customHeight="1" x14ac:dyDescent="0.35"/>
    <row r="608" ht="13.5" customHeight="1" x14ac:dyDescent="0.35"/>
    <row r="609" ht="13.5" customHeight="1" x14ac:dyDescent="0.35"/>
    <row r="610" ht="13.5" customHeight="1" x14ac:dyDescent="0.35"/>
    <row r="611" ht="13.5" customHeight="1" x14ac:dyDescent="0.35"/>
    <row r="612" ht="13.5" customHeight="1" x14ac:dyDescent="0.35"/>
    <row r="613" ht="13.5" customHeight="1" x14ac:dyDescent="0.35"/>
    <row r="614" ht="13.5" customHeight="1" x14ac:dyDescent="0.35"/>
    <row r="615" ht="13.5" customHeight="1" x14ac:dyDescent="0.35"/>
    <row r="616" ht="13.5" customHeight="1" x14ac:dyDescent="0.35"/>
    <row r="617" ht="13.5" customHeight="1" x14ac:dyDescent="0.35"/>
    <row r="618" ht="13.5" customHeight="1" x14ac:dyDescent="0.35"/>
    <row r="619" ht="13.5" customHeight="1" x14ac:dyDescent="0.35"/>
    <row r="620" ht="13.5" customHeight="1" x14ac:dyDescent="0.35"/>
    <row r="621" ht="13.5" customHeight="1" x14ac:dyDescent="0.35"/>
    <row r="622" ht="13.5" customHeight="1" x14ac:dyDescent="0.35"/>
    <row r="623" ht="13.5" customHeight="1" x14ac:dyDescent="0.35"/>
    <row r="624" ht="13.5" customHeight="1" x14ac:dyDescent="0.35"/>
    <row r="625" ht="13.5" customHeight="1" x14ac:dyDescent="0.35"/>
    <row r="626" ht="13.5" customHeight="1" x14ac:dyDescent="0.35"/>
    <row r="627" ht="13.5" customHeight="1" x14ac:dyDescent="0.35"/>
    <row r="628" ht="13.5" customHeight="1" x14ac:dyDescent="0.35"/>
    <row r="629" ht="13.5" customHeight="1" x14ac:dyDescent="0.35"/>
    <row r="630" ht="13.5" customHeight="1" x14ac:dyDescent="0.35"/>
    <row r="631" ht="13.5" customHeight="1" x14ac:dyDescent="0.35"/>
    <row r="632" ht="13.5" customHeight="1" x14ac:dyDescent="0.35"/>
    <row r="633" ht="13.5" customHeight="1" x14ac:dyDescent="0.35"/>
    <row r="634" ht="13.5" customHeight="1" x14ac:dyDescent="0.35"/>
    <row r="635" ht="13.5" customHeight="1" x14ac:dyDescent="0.35"/>
    <row r="636" ht="13.5" customHeight="1" x14ac:dyDescent="0.35"/>
    <row r="637" ht="13.5" customHeight="1" x14ac:dyDescent="0.35"/>
    <row r="638" ht="13.5" customHeight="1" x14ac:dyDescent="0.35"/>
    <row r="639" ht="13.5" customHeight="1" x14ac:dyDescent="0.35"/>
    <row r="640" ht="13.5" customHeight="1" x14ac:dyDescent="0.35"/>
    <row r="641" ht="13.5" customHeight="1" x14ac:dyDescent="0.35"/>
    <row r="642" ht="13.5" customHeight="1" x14ac:dyDescent="0.35"/>
    <row r="643" ht="13.5" customHeight="1" x14ac:dyDescent="0.35"/>
    <row r="644" ht="13.5" customHeight="1" x14ac:dyDescent="0.35"/>
    <row r="645" ht="13.5" customHeight="1" x14ac:dyDescent="0.35"/>
    <row r="646" ht="13.5" customHeight="1" x14ac:dyDescent="0.35"/>
    <row r="647" ht="13.5" customHeight="1" x14ac:dyDescent="0.35"/>
    <row r="648" ht="13.5" customHeight="1" x14ac:dyDescent="0.35"/>
    <row r="649" ht="13.5" customHeight="1" x14ac:dyDescent="0.35"/>
    <row r="650" ht="13.5" customHeight="1" x14ac:dyDescent="0.35"/>
    <row r="651" ht="13.5" customHeight="1" x14ac:dyDescent="0.35"/>
    <row r="652" ht="13.5" customHeight="1" x14ac:dyDescent="0.35"/>
    <row r="653" ht="13.5" customHeight="1" x14ac:dyDescent="0.35"/>
    <row r="654" ht="13.5" customHeight="1" x14ac:dyDescent="0.35"/>
    <row r="655" ht="13.5" customHeight="1" x14ac:dyDescent="0.35"/>
    <row r="656" ht="13.5" customHeight="1" x14ac:dyDescent="0.35"/>
    <row r="657" ht="13.5" customHeight="1" x14ac:dyDescent="0.35"/>
    <row r="658" ht="13.5" customHeight="1" x14ac:dyDescent="0.35"/>
    <row r="659" ht="13.5" customHeight="1" x14ac:dyDescent="0.35"/>
    <row r="660" ht="13.5" customHeight="1" x14ac:dyDescent="0.35"/>
    <row r="661" ht="13.5" customHeight="1" x14ac:dyDescent="0.35"/>
    <row r="662" ht="13.5" customHeight="1" x14ac:dyDescent="0.35"/>
    <row r="663" ht="13.5" customHeight="1" x14ac:dyDescent="0.35"/>
    <row r="664" ht="13.5" customHeight="1" x14ac:dyDescent="0.35"/>
    <row r="665" ht="13.5" customHeight="1" x14ac:dyDescent="0.35"/>
    <row r="666" ht="13.5" customHeight="1" x14ac:dyDescent="0.35"/>
    <row r="667" ht="13.5" customHeight="1" x14ac:dyDescent="0.35"/>
    <row r="668" ht="13.5" customHeight="1" x14ac:dyDescent="0.35"/>
    <row r="669" ht="13.5" customHeight="1" x14ac:dyDescent="0.35"/>
    <row r="670" ht="13.5" customHeight="1" x14ac:dyDescent="0.35"/>
    <row r="671" ht="13.5" customHeight="1" x14ac:dyDescent="0.35"/>
    <row r="672" ht="13.5" customHeight="1" x14ac:dyDescent="0.35"/>
    <row r="673" ht="13.5" customHeight="1" x14ac:dyDescent="0.35"/>
    <row r="674" ht="13.5" customHeight="1" x14ac:dyDescent="0.35"/>
    <row r="675" ht="13.5" customHeight="1" x14ac:dyDescent="0.35"/>
    <row r="676" ht="13.5" customHeight="1" x14ac:dyDescent="0.35"/>
    <row r="677" ht="13.5" customHeight="1" x14ac:dyDescent="0.35"/>
    <row r="678" ht="13.5" customHeight="1" x14ac:dyDescent="0.35"/>
    <row r="679" ht="13.5" customHeight="1" x14ac:dyDescent="0.35"/>
    <row r="680" ht="13.5" customHeight="1" x14ac:dyDescent="0.35"/>
    <row r="681" ht="13.5" customHeight="1" x14ac:dyDescent="0.35"/>
    <row r="682" ht="13.5" customHeight="1" x14ac:dyDescent="0.35"/>
    <row r="683" ht="13.5" customHeight="1" x14ac:dyDescent="0.35"/>
    <row r="684" ht="13.5" customHeight="1" x14ac:dyDescent="0.35"/>
    <row r="685" ht="13.5" customHeight="1" x14ac:dyDescent="0.35"/>
    <row r="686" ht="13.5" customHeight="1" x14ac:dyDescent="0.35"/>
    <row r="687" ht="13.5" customHeight="1" x14ac:dyDescent="0.35"/>
    <row r="688" ht="13.5" customHeight="1" x14ac:dyDescent="0.35"/>
    <row r="689" ht="13.5" customHeight="1" x14ac:dyDescent="0.35"/>
    <row r="690" ht="13.5" customHeight="1" x14ac:dyDescent="0.35"/>
    <row r="691" ht="13.5" customHeight="1" x14ac:dyDescent="0.35"/>
    <row r="692" ht="13.5" customHeight="1" x14ac:dyDescent="0.35"/>
    <row r="693" ht="13.5" customHeight="1" x14ac:dyDescent="0.35"/>
    <row r="694" ht="13.5" customHeight="1" x14ac:dyDescent="0.35"/>
    <row r="695" ht="13.5" customHeight="1" x14ac:dyDescent="0.35"/>
    <row r="696" ht="13.5" customHeight="1" x14ac:dyDescent="0.35"/>
    <row r="697" ht="13.5" customHeight="1" x14ac:dyDescent="0.35"/>
    <row r="698" ht="13.5" customHeight="1" x14ac:dyDescent="0.35"/>
    <row r="699" ht="13.5" customHeight="1" x14ac:dyDescent="0.35"/>
    <row r="700" ht="13.5" customHeight="1" x14ac:dyDescent="0.35"/>
    <row r="701" ht="13.5" customHeight="1" x14ac:dyDescent="0.35"/>
    <row r="702" ht="13.5" customHeight="1" x14ac:dyDescent="0.35"/>
    <row r="703" ht="13.5" customHeight="1" x14ac:dyDescent="0.35"/>
    <row r="704" ht="13.5" customHeight="1" x14ac:dyDescent="0.35"/>
    <row r="705" ht="13.5" customHeight="1" x14ac:dyDescent="0.35"/>
    <row r="706" ht="13.5" customHeight="1" x14ac:dyDescent="0.35"/>
    <row r="707" ht="13.5" customHeight="1" x14ac:dyDescent="0.35"/>
    <row r="708" ht="13.5" customHeight="1" x14ac:dyDescent="0.35"/>
    <row r="709" ht="13.5" customHeight="1" x14ac:dyDescent="0.35"/>
    <row r="710" ht="13.5" customHeight="1" x14ac:dyDescent="0.35"/>
    <row r="711" ht="13.5" customHeight="1" x14ac:dyDescent="0.35"/>
    <row r="712" ht="13.5" customHeight="1" x14ac:dyDescent="0.35"/>
    <row r="713" ht="13.5" customHeight="1" x14ac:dyDescent="0.35"/>
    <row r="714" ht="13.5" customHeight="1" x14ac:dyDescent="0.35"/>
    <row r="715" ht="13.5" customHeight="1" x14ac:dyDescent="0.35"/>
    <row r="716" ht="13.5" customHeight="1" x14ac:dyDescent="0.35"/>
    <row r="717" ht="13.5" customHeight="1" x14ac:dyDescent="0.35"/>
    <row r="718" ht="13.5" customHeight="1" x14ac:dyDescent="0.35"/>
    <row r="719" ht="13.5" customHeight="1" x14ac:dyDescent="0.35"/>
    <row r="720" ht="13.5" customHeight="1" x14ac:dyDescent="0.35"/>
    <row r="721" ht="13.5" customHeight="1" x14ac:dyDescent="0.35"/>
    <row r="722" ht="13.5" customHeight="1" x14ac:dyDescent="0.35"/>
    <row r="723" ht="13.5" customHeight="1" x14ac:dyDescent="0.35"/>
    <row r="724" ht="13.5" customHeight="1" x14ac:dyDescent="0.35"/>
    <row r="725" ht="13.5" customHeight="1" x14ac:dyDescent="0.35"/>
    <row r="726" ht="13.5" customHeight="1" x14ac:dyDescent="0.35"/>
    <row r="727" ht="13.5" customHeight="1" x14ac:dyDescent="0.35"/>
    <row r="728" ht="13.5" customHeight="1" x14ac:dyDescent="0.35"/>
    <row r="729" ht="13.5" customHeight="1" x14ac:dyDescent="0.35"/>
    <row r="730" ht="13.5" customHeight="1" x14ac:dyDescent="0.35"/>
    <row r="731" ht="13.5" customHeight="1" x14ac:dyDescent="0.35"/>
    <row r="732" ht="13.5" customHeight="1" x14ac:dyDescent="0.35"/>
    <row r="733" ht="13.5" customHeight="1" x14ac:dyDescent="0.35"/>
    <row r="734" ht="13.5" customHeight="1" x14ac:dyDescent="0.35"/>
    <row r="735" ht="13.5" customHeight="1" x14ac:dyDescent="0.35"/>
    <row r="736" ht="13.5" customHeight="1" x14ac:dyDescent="0.35"/>
    <row r="737" ht="13.5" customHeight="1" x14ac:dyDescent="0.35"/>
    <row r="738" ht="13.5" customHeight="1" x14ac:dyDescent="0.35"/>
    <row r="739" ht="13.5" customHeight="1" x14ac:dyDescent="0.35"/>
    <row r="740" ht="13.5" customHeight="1" x14ac:dyDescent="0.35"/>
    <row r="741" ht="13.5" customHeight="1" x14ac:dyDescent="0.35"/>
    <row r="742" ht="13.5" customHeight="1" x14ac:dyDescent="0.35"/>
    <row r="743" ht="13.5" customHeight="1" x14ac:dyDescent="0.35"/>
    <row r="744" ht="13.5" customHeight="1" x14ac:dyDescent="0.35"/>
    <row r="745" ht="13.5" customHeight="1" x14ac:dyDescent="0.35"/>
    <row r="746" ht="13.5" customHeight="1" x14ac:dyDescent="0.35"/>
    <row r="747" ht="13.5" customHeight="1" x14ac:dyDescent="0.35"/>
    <row r="748" ht="13.5" customHeight="1" x14ac:dyDescent="0.35"/>
    <row r="749" ht="13.5" customHeight="1" x14ac:dyDescent="0.35"/>
    <row r="750" ht="13.5" customHeight="1" x14ac:dyDescent="0.35"/>
    <row r="751" ht="13.5" customHeight="1" x14ac:dyDescent="0.35"/>
    <row r="752" ht="13.5" customHeight="1" x14ac:dyDescent="0.35"/>
    <row r="753" ht="13.5" customHeight="1" x14ac:dyDescent="0.35"/>
    <row r="754" ht="13.5" customHeight="1" x14ac:dyDescent="0.35"/>
    <row r="755" ht="13.5" customHeight="1" x14ac:dyDescent="0.35"/>
    <row r="756" ht="13.5" customHeight="1" x14ac:dyDescent="0.35"/>
    <row r="757" ht="13.5" customHeight="1" x14ac:dyDescent="0.35"/>
    <row r="758" ht="13.5" customHeight="1" x14ac:dyDescent="0.35"/>
    <row r="759" ht="13.5" customHeight="1" x14ac:dyDescent="0.35"/>
    <row r="760" ht="13.5" customHeight="1" x14ac:dyDescent="0.35"/>
    <row r="761" ht="13.5" customHeight="1" x14ac:dyDescent="0.35"/>
    <row r="762" ht="13.5" customHeight="1" x14ac:dyDescent="0.35"/>
    <row r="763" ht="13.5" customHeight="1" x14ac:dyDescent="0.35"/>
    <row r="764" ht="13.5" customHeight="1" x14ac:dyDescent="0.35"/>
    <row r="765" ht="13.5" customHeight="1" x14ac:dyDescent="0.35"/>
    <row r="766" ht="13.5" customHeight="1" x14ac:dyDescent="0.35"/>
    <row r="767" ht="13.5" customHeight="1" x14ac:dyDescent="0.35"/>
    <row r="768" ht="13.5" customHeight="1" x14ac:dyDescent="0.35"/>
    <row r="769" ht="13.5" customHeight="1" x14ac:dyDescent="0.35"/>
    <row r="770" ht="13.5" customHeight="1" x14ac:dyDescent="0.35"/>
    <row r="771" ht="13.5" customHeight="1" x14ac:dyDescent="0.35"/>
    <row r="772" ht="13.5" customHeight="1" x14ac:dyDescent="0.35"/>
    <row r="773" ht="13.5" customHeight="1" x14ac:dyDescent="0.35"/>
    <row r="774" ht="13.5" customHeight="1" x14ac:dyDescent="0.35"/>
    <row r="775" ht="13.5" customHeight="1" x14ac:dyDescent="0.35"/>
    <row r="776" ht="13.5" customHeight="1" x14ac:dyDescent="0.35"/>
    <row r="777" ht="13.5" customHeight="1" x14ac:dyDescent="0.35"/>
    <row r="778" ht="13.5" customHeight="1" x14ac:dyDescent="0.35"/>
    <row r="779" ht="13.5" customHeight="1" x14ac:dyDescent="0.35"/>
    <row r="780" ht="13.5" customHeight="1" x14ac:dyDescent="0.35"/>
    <row r="781" ht="13.5" customHeight="1" x14ac:dyDescent="0.35"/>
    <row r="782" ht="13.5" customHeight="1" x14ac:dyDescent="0.35"/>
    <row r="783" ht="13.5" customHeight="1" x14ac:dyDescent="0.35"/>
    <row r="784" ht="13.5" customHeight="1" x14ac:dyDescent="0.35"/>
    <row r="785" ht="13.5" customHeight="1" x14ac:dyDescent="0.35"/>
    <row r="786" ht="13.5" customHeight="1" x14ac:dyDescent="0.35"/>
    <row r="787" ht="13.5" customHeight="1" x14ac:dyDescent="0.35"/>
    <row r="788" ht="13.5" customHeight="1" x14ac:dyDescent="0.35"/>
    <row r="789" ht="13.5" customHeight="1" x14ac:dyDescent="0.35"/>
    <row r="790" ht="13.5" customHeight="1" x14ac:dyDescent="0.35"/>
    <row r="791" ht="13.5" customHeight="1" x14ac:dyDescent="0.35"/>
    <row r="792" ht="13.5" customHeight="1" x14ac:dyDescent="0.35"/>
    <row r="793" ht="13.5" customHeight="1" x14ac:dyDescent="0.35"/>
    <row r="794" ht="13.5" customHeight="1" x14ac:dyDescent="0.35"/>
    <row r="795" ht="13.5" customHeight="1" x14ac:dyDescent="0.35"/>
    <row r="796" ht="13.5" customHeight="1" x14ac:dyDescent="0.35"/>
    <row r="797" ht="13.5" customHeight="1" x14ac:dyDescent="0.35"/>
    <row r="798" ht="13.5" customHeight="1" x14ac:dyDescent="0.35"/>
    <row r="799" ht="13.5" customHeight="1" x14ac:dyDescent="0.35"/>
    <row r="800" ht="13.5" customHeight="1" x14ac:dyDescent="0.35"/>
    <row r="801" ht="13.5" customHeight="1" x14ac:dyDescent="0.35"/>
    <row r="802" ht="13.5" customHeight="1" x14ac:dyDescent="0.35"/>
    <row r="803" ht="13.5" customHeight="1" x14ac:dyDescent="0.35"/>
    <row r="804" ht="13.5" customHeight="1" x14ac:dyDescent="0.35"/>
    <row r="805" ht="13.5" customHeight="1" x14ac:dyDescent="0.35"/>
    <row r="806" ht="13.5" customHeight="1" x14ac:dyDescent="0.35"/>
    <row r="807" ht="13.5" customHeight="1" x14ac:dyDescent="0.35"/>
    <row r="808" ht="13.5" customHeight="1" x14ac:dyDescent="0.35"/>
    <row r="809" ht="13.5" customHeight="1" x14ac:dyDescent="0.35"/>
    <row r="810" ht="13.5" customHeight="1" x14ac:dyDescent="0.35"/>
    <row r="811" ht="13.5" customHeight="1" x14ac:dyDescent="0.35"/>
    <row r="812" ht="13.5" customHeight="1" x14ac:dyDescent="0.35"/>
    <row r="813" ht="13.5" customHeight="1" x14ac:dyDescent="0.35"/>
    <row r="814" ht="13.5" customHeight="1" x14ac:dyDescent="0.35"/>
    <row r="815" ht="13.5" customHeight="1" x14ac:dyDescent="0.35"/>
    <row r="816" ht="13.5" customHeight="1" x14ac:dyDescent="0.35"/>
    <row r="817" ht="13.5" customHeight="1" x14ac:dyDescent="0.35"/>
    <row r="818" ht="13.5" customHeight="1" x14ac:dyDescent="0.35"/>
    <row r="819" ht="13.5" customHeight="1" x14ac:dyDescent="0.35"/>
    <row r="820" ht="13.5" customHeight="1" x14ac:dyDescent="0.35"/>
    <row r="821" ht="13.5" customHeight="1" x14ac:dyDescent="0.35"/>
    <row r="822" ht="13.5" customHeight="1" x14ac:dyDescent="0.35"/>
    <row r="823" ht="13.5" customHeight="1" x14ac:dyDescent="0.35"/>
    <row r="824" ht="13.5" customHeight="1" x14ac:dyDescent="0.35"/>
    <row r="825" ht="13.5" customHeight="1" x14ac:dyDescent="0.35"/>
    <row r="826" ht="13.5" customHeight="1" x14ac:dyDescent="0.35"/>
    <row r="827" ht="13.5" customHeight="1" x14ac:dyDescent="0.35"/>
    <row r="828" ht="13.5" customHeight="1" x14ac:dyDescent="0.35"/>
    <row r="829" ht="13.5" customHeight="1" x14ac:dyDescent="0.35"/>
    <row r="830" ht="13.5" customHeight="1" x14ac:dyDescent="0.35"/>
    <row r="831" ht="13.5" customHeight="1" x14ac:dyDescent="0.35"/>
    <row r="832" ht="13.5" customHeight="1" x14ac:dyDescent="0.35"/>
    <row r="833" ht="13.5" customHeight="1" x14ac:dyDescent="0.35"/>
    <row r="834" ht="13.5" customHeight="1" x14ac:dyDescent="0.35"/>
    <row r="835" ht="13.5" customHeight="1" x14ac:dyDescent="0.35"/>
    <row r="836" ht="13.5" customHeight="1" x14ac:dyDescent="0.35"/>
    <row r="837" ht="13.5" customHeight="1" x14ac:dyDescent="0.35"/>
    <row r="838" ht="13.5" customHeight="1" x14ac:dyDescent="0.35"/>
    <row r="839" ht="13.5" customHeight="1" x14ac:dyDescent="0.35"/>
    <row r="840" ht="13.5" customHeight="1" x14ac:dyDescent="0.35"/>
    <row r="841" ht="13.5" customHeight="1" x14ac:dyDescent="0.35"/>
    <row r="842" ht="13.5" customHeight="1" x14ac:dyDescent="0.35"/>
    <row r="843" ht="13.5" customHeight="1" x14ac:dyDescent="0.35"/>
    <row r="844" ht="13.5" customHeight="1" x14ac:dyDescent="0.35"/>
    <row r="845" ht="13.5" customHeight="1" x14ac:dyDescent="0.35"/>
    <row r="846" ht="13.5" customHeight="1" x14ac:dyDescent="0.35"/>
    <row r="847" ht="13.5" customHeight="1" x14ac:dyDescent="0.35"/>
    <row r="848" ht="13.5" customHeight="1" x14ac:dyDescent="0.35"/>
    <row r="849" ht="13.5" customHeight="1" x14ac:dyDescent="0.35"/>
    <row r="850" ht="13.5" customHeight="1" x14ac:dyDescent="0.35"/>
    <row r="851" ht="13.5" customHeight="1" x14ac:dyDescent="0.35"/>
    <row r="852" ht="13.5" customHeight="1" x14ac:dyDescent="0.35"/>
    <row r="853" ht="13.5" customHeight="1" x14ac:dyDescent="0.35"/>
    <row r="854" ht="13.5" customHeight="1" x14ac:dyDescent="0.35"/>
    <row r="855" ht="13.5" customHeight="1" x14ac:dyDescent="0.35"/>
    <row r="856" ht="13.5" customHeight="1" x14ac:dyDescent="0.35"/>
    <row r="857" ht="13.5" customHeight="1" x14ac:dyDescent="0.35"/>
    <row r="858" ht="13.5" customHeight="1" x14ac:dyDescent="0.35"/>
    <row r="859" ht="13.5" customHeight="1" x14ac:dyDescent="0.35"/>
    <row r="860" ht="13.5" customHeight="1" x14ac:dyDescent="0.35"/>
    <row r="861" ht="13.5" customHeight="1" x14ac:dyDescent="0.35"/>
    <row r="862" ht="13.5" customHeight="1" x14ac:dyDescent="0.35"/>
    <row r="863" ht="13.5" customHeight="1" x14ac:dyDescent="0.35"/>
    <row r="864" ht="13.5" customHeight="1" x14ac:dyDescent="0.35"/>
    <row r="865" ht="13.5" customHeight="1" x14ac:dyDescent="0.35"/>
    <row r="866" ht="13.5" customHeight="1" x14ac:dyDescent="0.35"/>
    <row r="867" ht="13.5" customHeight="1" x14ac:dyDescent="0.35"/>
    <row r="868" ht="13.5" customHeight="1" x14ac:dyDescent="0.35"/>
    <row r="869" ht="13.5" customHeight="1" x14ac:dyDescent="0.35"/>
    <row r="870" ht="13.5" customHeight="1" x14ac:dyDescent="0.35"/>
    <row r="871" ht="13.5" customHeight="1" x14ac:dyDescent="0.35"/>
    <row r="872" ht="13.5" customHeight="1" x14ac:dyDescent="0.35"/>
    <row r="873" ht="13.5" customHeight="1" x14ac:dyDescent="0.35"/>
    <row r="874" ht="13.5" customHeight="1" x14ac:dyDescent="0.35"/>
    <row r="875" ht="13.5" customHeight="1" x14ac:dyDescent="0.35"/>
    <row r="876" ht="13.5" customHeight="1" x14ac:dyDescent="0.35"/>
    <row r="877" ht="13.5" customHeight="1" x14ac:dyDescent="0.35"/>
    <row r="878" ht="13.5" customHeight="1" x14ac:dyDescent="0.35"/>
    <row r="879" ht="13.5" customHeight="1" x14ac:dyDescent="0.35"/>
    <row r="880" ht="13.5" customHeight="1" x14ac:dyDescent="0.35"/>
    <row r="881" ht="13.5" customHeight="1" x14ac:dyDescent="0.35"/>
    <row r="882" ht="13.5" customHeight="1" x14ac:dyDescent="0.35"/>
    <row r="883" ht="13.5" customHeight="1" x14ac:dyDescent="0.35"/>
    <row r="884" ht="13.5" customHeight="1" x14ac:dyDescent="0.35"/>
    <row r="885" ht="13.5" customHeight="1" x14ac:dyDescent="0.35"/>
    <row r="886" ht="13.5" customHeight="1" x14ac:dyDescent="0.35"/>
    <row r="887" ht="13.5" customHeight="1" x14ac:dyDescent="0.35"/>
    <row r="888" ht="13.5" customHeight="1" x14ac:dyDescent="0.35"/>
    <row r="889" ht="13.5" customHeight="1" x14ac:dyDescent="0.35"/>
    <row r="890" ht="13.5" customHeight="1" x14ac:dyDescent="0.35"/>
    <row r="891" ht="13.5" customHeight="1" x14ac:dyDescent="0.35"/>
    <row r="892" ht="13.5" customHeight="1" x14ac:dyDescent="0.35"/>
    <row r="893" ht="13.5" customHeight="1" x14ac:dyDescent="0.35"/>
    <row r="894" ht="13.5" customHeight="1" x14ac:dyDescent="0.35"/>
    <row r="895" ht="13.5" customHeight="1" x14ac:dyDescent="0.35"/>
    <row r="896" ht="13.5" customHeight="1" x14ac:dyDescent="0.35"/>
    <row r="897" ht="13.5" customHeight="1" x14ac:dyDescent="0.35"/>
    <row r="898" ht="13.5" customHeight="1" x14ac:dyDescent="0.35"/>
    <row r="899" ht="13.5" customHeight="1" x14ac:dyDescent="0.35"/>
    <row r="900" ht="13.5" customHeight="1" x14ac:dyDescent="0.35"/>
    <row r="901" ht="13.5" customHeight="1" x14ac:dyDescent="0.35"/>
    <row r="902" ht="13.5" customHeight="1" x14ac:dyDescent="0.35"/>
    <row r="903" ht="13.5" customHeight="1" x14ac:dyDescent="0.35"/>
    <row r="904" ht="13.5" customHeight="1" x14ac:dyDescent="0.35"/>
    <row r="905" ht="13.5" customHeight="1" x14ac:dyDescent="0.35"/>
    <row r="906" ht="13.5" customHeight="1" x14ac:dyDescent="0.35"/>
    <row r="907" ht="13.5" customHeight="1" x14ac:dyDescent="0.35"/>
    <row r="908" ht="13.5" customHeight="1" x14ac:dyDescent="0.35"/>
    <row r="909" ht="13.5" customHeight="1" x14ac:dyDescent="0.35"/>
    <row r="910" ht="13.5" customHeight="1" x14ac:dyDescent="0.35"/>
    <row r="911" ht="13.5" customHeight="1" x14ac:dyDescent="0.35"/>
    <row r="912" ht="13.5" customHeight="1" x14ac:dyDescent="0.35"/>
    <row r="913" ht="13.5" customHeight="1" x14ac:dyDescent="0.35"/>
    <row r="914" ht="13.5" customHeight="1" x14ac:dyDescent="0.35"/>
    <row r="915" ht="13.5" customHeight="1" x14ac:dyDescent="0.35"/>
    <row r="916" ht="13.5" customHeight="1" x14ac:dyDescent="0.35"/>
    <row r="917" ht="13.5" customHeight="1" x14ac:dyDescent="0.35"/>
    <row r="918" ht="13.5" customHeight="1" x14ac:dyDescent="0.35"/>
    <row r="919" ht="13.5" customHeight="1" x14ac:dyDescent="0.35"/>
    <row r="920" ht="13.5" customHeight="1" x14ac:dyDescent="0.35"/>
    <row r="921" ht="13.5" customHeight="1" x14ac:dyDescent="0.35"/>
    <row r="922" ht="13.5" customHeight="1" x14ac:dyDescent="0.35"/>
    <row r="923" ht="13.5" customHeight="1" x14ac:dyDescent="0.35"/>
    <row r="924" ht="13.5" customHeight="1" x14ac:dyDescent="0.35"/>
    <row r="925" ht="13.5" customHeight="1" x14ac:dyDescent="0.35"/>
    <row r="926" ht="13.5" customHeight="1" x14ac:dyDescent="0.35"/>
    <row r="927" ht="13.5" customHeight="1" x14ac:dyDescent="0.35"/>
    <row r="928" ht="13.5" customHeight="1" x14ac:dyDescent="0.35"/>
    <row r="929" ht="13.5" customHeight="1" x14ac:dyDescent="0.35"/>
    <row r="930" ht="13.5" customHeight="1" x14ac:dyDescent="0.35"/>
    <row r="931" ht="13.5" customHeight="1" x14ac:dyDescent="0.35"/>
    <row r="932" ht="13.5" customHeight="1" x14ac:dyDescent="0.35"/>
    <row r="933" ht="13.5" customHeight="1" x14ac:dyDescent="0.35"/>
    <row r="934" ht="13.5" customHeight="1" x14ac:dyDescent="0.35"/>
    <row r="935" ht="13.5" customHeight="1" x14ac:dyDescent="0.35"/>
    <row r="936" ht="13.5" customHeight="1" x14ac:dyDescent="0.35"/>
    <row r="937" ht="13.5" customHeight="1" x14ac:dyDescent="0.35"/>
    <row r="938" ht="13.5" customHeight="1" x14ac:dyDescent="0.35"/>
    <row r="939" ht="13.5" customHeight="1" x14ac:dyDescent="0.35"/>
    <row r="940" ht="13.5" customHeight="1" x14ac:dyDescent="0.35"/>
    <row r="941" ht="13.5" customHeight="1" x14ac:dyDescent="0.35"/>
    <row r="942" ht="13.5" customHeight="1" x14ac:dyDescent="0.35"/>
    <row r="943" ht="13.5" customHeight="1" x14ac:dyDescent="0.35"/>
    <row r="944" ht="13.5" customHeight="1" x14ac:dyDescent="0.35"/>
    <row r="945" ht="13.5" customHeight="1" x14ac:dyDescent="0.35"/>
    <row r="946" ht="13.5" customHeight="1" x14ac:dyDescent="0.35"/>
    <row r="947" ht="13.5" customHeight="1" x14ac:dyDescent="0.35"/>
    <row r="948" ht="13.5" customHeight="1" x14ac:dyDescent="0.35"/>
    <row r="949" ht="13.5" customHeight="1" x14ac:dyDescent="0.35"/>
    <row r="950" ht="13.5" customHeight="1" x14ac:dyDescent="0.35"/>
    <row r="951" ht="13.5" customHeight="1" x14ac:dyDescent="0.35"/>
    <row r="952" ht="13.5" customHeight="1" x14ac:dyDescent="0.35"/>
    <row r="953" ht="13.5" customHeight="1" x14ac:dyDescent="0.35"/>
    <row r="954" ht="13.5" customHeight="1" x14ac:dyDescent="0.35"/>
    <row r="955" ht="13.5" customHeight="1" x14ac:dyDescent="0.35"/>
    <row r="956" ht="13.5" customHeight="1" x14ac:dyDescent="0.35"/>
    <row r="957" ht="13.5" customHeight="1" x14ac:dyDescent="0.35"/>
    <row r="958" ht="13.5" customHeight="1" x14ac:dyDescent="0.35"/>
    <row r="959" ht="13.5" customHeight="1" x14ac:dyDescent="0.35"/>
    <row r="960" ht="13.5" customHeight="1" x14ac:dyDescent="0.35"/>
    <row r="961" ht="13.5" customHeight="1" x14ac:dyDescent="0.35"/>
    <row r="962" ht="13.5" customHeight="1" x14ac:dyDescent="0.35"/>
    <row r="963" ht="13.5" customHeight="1" x14ac:dyDescent="0.35"/>
    <row r="964" ht="13.5" customHeight="1" x14ac:dyDescent="0.35"/>
    <row r="965" ht="13.5" customHeight="1" x14ac:dyDescent="0.35"/>
    <row r="966" ht="13.5" customHeight="1" x14ac:dyDescent="0.35"/>
    <row r="967" ht="13.5" customHeight="1" x14ac:dyDescent="0.35"/>
    <row r="968" ht="13.5" customHeight="1" x14ac:dyDescent="0.35"/>
    <row r="969" ht="13.5" customHeight="1" x14ac:dyDescent="0.35"/>
    <row r="970" ht="13.5" customHeight="1" x14ac:dyDescent="0.35"/>
    <row r="971" ht="13.5" customHeight="1" x14ac:dyDescent="0.35"/>
    <row r="972" ht="13.5" customHeight="1" x14ac:dyDescent="0.35"/>
    <row r="973" ht="13.5" customHeight="1" x14ac:dyDescent="0.35"/>
    <row r="974" ht="13.5" customHeight="1" x14ac:dyDescent="0.35"/>
    <row r="975" ht="13.5" customHeight="1" x14ac:dyDescent="0.35"/>
    <row r="976" ht="13.5" customHeight="1" x14ac:dyDescent="0.35"/>
    <row r="977" ht="13.5" customHeight="1" x14ac:dyDescent="0.35"/>
    <row r="978" ht="13.5" customHeight="1" x14ac:dyDescent="0.35"/>
    <row r="979" ht="13.5" customHeight="1" x14ac:dyDescent="0.35"/>
    <row r="980" ht="13.5" customHeight="1" x14ac:dyDescent="0.35"/>
    <row r="981" ht="13.5" customHeight="1" x14ac:dyDescent="0.35"/>
    <row r="982" ht="13.5" customHeight="1" x14ac:dyDescent="0.35"/>
    <row r="983" ht="13.5" customHeight="1" x14ac:dyDescent="0.35"/>
    <row r="984" ht="13.5" customHeight="1" x14ac:dyDescent="0.35"/>
    <row r="985" ht="13.5" customHeight="1" x14ac:dyDescent="0.35"/>
  </sheetData>
  <pageMargins left="0.19685039370078741" right="0" top="0.19685039370078741" bottom="0.19685039370078741" header="0.31496062992125984" footer="0.31496062992125984"/>
  <pageSetup paperSize="9" scale="54" orientation="landscape" r:id="rId1"/>
  <ignoredErrors>
    <ignoredError sqref="E37:O37 D69:O69 F52:N52" formulaRange="1"/>
    <ignoredError sqref="C78:C91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Escenario 2025 NORMAL</vt:lpstr>
      <vt:lpstr>'Escenario 2025 NORMAL'!Área_de_impresión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administracion@suministroszarco.com</cp:lastModifiedBy>
  <cp:lastPrinted>2021-05-07T09:22:24Z</cp:lastPrinted>
  <dcterms:created xsi:type="dcterms:W3CDTF">2018-10-17T11:50:49Z</dcterms:created>
  <dcterms:modified xsi:type="dcterms:W3CDTF">2026-03-03T15:12:06Z</dcterms:modified>
</cp:coreProperties>
</file>